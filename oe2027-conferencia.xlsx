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Visão geral" sheetId="2" state="visible" r:id="rId4"/>
    <sheet name="Receita e despesa" sheetId="3" state="visible" r:id="rId5"/>
    <sheet name="Impostos" sheetId="4" state="visible" r:id="rId6"/>
    <sheet name="AC natureza" sheetId="5" state="visible" r:id="rId7"/>
    <sheet name="AC programas" sheetId="6" state="visible" r:id="rId8"/>
    <sheet name="Consolidação" sheetId="7" state="visible" r:id="rId9"/>
    <sheet name="Segurança Social" sheetId="8" state="visible" r:id="rId10"/>
    <sheet name="Medidas" sheetId="9" state="visible" r:id="rId11"/>
    <sheet name="Municípios" sheetId="10" state="visible" r:id="rId12"/>
  </sheets>
  <definedNames>
    <definedName function="false" hidden="true" localSheetId="9" name="_xlnm._FilterDatabase" vbProcedure="false">Municípios!$A$4:$L$4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<sst xmlns="http://schemas.openxmlformats.org/spreadsheetml/2006/main" count="1087" uniqueCount="616">
  <si>
    <t xml:space="preserve">OE 2027 — valores para conferência</t>
  </si>
  <si>
    <t xml:space="preserve">O que é</t>
  </si>
  <si>
    <t xml:space="preserve">Todos os valores usados na página «Explorador do OE 2027», organizados por secção, com o quadro e a página de origem.</t>
  </si>
  <si>
    <t xml:space="preserve">Origem</t>
  </si>
  <si>
    <t xml:space="preserve">Proposta de Lei do Orçamento do Estado para 2027: https://www.parlamento.pt/ActividadeParlamentar/Paginas/DetalheIniciativa.aspx?BID=377352</t>
  </si>
  <si>
    <t xml:space="preserve">Relatório</t>
  </si>
  <si>
    <t xml:space="preserve">pdfs/9f7df920-f4f9-4d0e-a884-df3cde4db960.pdf (as páginas indicadas são as do PDF; a página impressa é a do PDF menos 16)</t>
  </si>
  <si>
    <t xml:space="preserve">Mapa 11</t>
  </si>
  <si>
    <t xml:space="preserve">pdfs/621ef07c-fbca-40c9-8738-7a094b886b1f.pdf (transferências para as Regiões Autónomas)</t>
  </si>
  <si>
    <t xml:space="preserve">Mapa 12</t>
  </si>
  <si>
    <t xml:space="preserve">pdfs/876667ac-77d7-4412-b18f-5f1ac8481157.pdf (transferências para os municípios)</t>
  </si>
  <si>
    <t xml:space="preserve">Unidades</t>
  </si>
  <si>
    <t xml:space="preserve">Milhões de euros, salvo indicação. A folha «Municípios» está em euros.</t>
  </si>
  <si>
    <t xml:space="preserve">Texto a azul</t>
  </si>
  <si>
    <t xml:space="preserve">Valor transcrito da fonte. É o que deve ser conferido contra o PDF.</t>
  </si>
  <si>
    <t xml:space="preserve">Texto a preto</t>
  </si>
  <si>
    <t xml:space="preserve">Fórmula (somas, variações, pesos, diferenças). Recalcula se um valor azul for corrigido.</t>
  </si>
  <si>
    <t xml:space="preserve">Linhas de controlo</t>
  </si>
  <si>
    <t xml:space="preserve">«Soma (fórmula)» soma as rubricas transcritas; «Total na fonte» é o total do quadro; «Diferença» deve ser zero ou um arredondamento (até cerca de 1).</t>
  </si>
  <si>
    <t xml:space="preserve">Variações</t>
  </si>
  <si>
    <t xml:space="preserve">A variação por fórmula usa os valores arredondados do quadro. Onde a fonte publica a sua variação, esta aparece numa coluna própria e pode diferir nas décimas.</t>
  </si>
  <si>
    <t xml:space="preserve">Valores aproximados</t>
  </si>
  <si>
    <t xml:space="preserve">Na folha «AC natureza», três decomposições são calculadas a partir de percentagens citadas no texto do Relatório, não de um quadro.</t>
  </si>
  <si>
    <t xml:space="preserve">Visão geral — Administrações Públicas, contabilidade nacional</t>
  </si>
  <si>
    <t xml:space="preserve">Indicador</t>
  </si>
  <si>
    <t xml:space="preserve">2026</t>
  </si>
  <si>
    <t xml:space="preserve">2027</t>
  </si>
  <si>
    <t xml:space="preserve">Variação % (fórmula)</t>
  </si>
  <si>
    <t xml:space="preserve">Variação % na fonte</t>
  </si>
  <si>
    <t xml:space="preserve">Fonte</t>
  </si>
  <si>
    <t xml:space="preserve">Receita total</t>
  </si>
  <si>
    <t xml:space="preserve">Relatório OE2027, Quadro 3.1, pág. 54 do PDF (pág. impressa 38)</t>
  </si>
  <si>
    <t xml:space="preserve">Receita total sem PRR</t>
  </si>
  <si>
    <t xml:space="preserve">Despesa total</t>
  </si>
  <si>
    <t xml:space="preserve">Despesa total sem PRR</t>
  </si>
  <si>
    <t xml:space="preserve">Receita fiscal</t>
  </si>
  <si>
    <t xml:space="preserve">Juros</t>
  </si>
  <si>
    <t xml:space="preserve">Saldo primário</t>
  </si>
  <si>
    <t xml:space="preserve">PIB nominal</t>
  </si>
  <si>
    <t xml:space="preserve">PRR na receita</t>
  </si>
  <si>
    <t xml:space="preserve">PRR na despesa</t>
  </si>
  <si>
    <t xml:space="preserve">Saldo (capacidade líquida de financiamento) na fonte</t>
  </si>
  <si>
    <t xml:space="preserve">Saldo (fórmula: receita − despesa)</t>
  </si>
  <si>
    <t xml:space="preserve">Diferença face ao saldo na fonte</t>
  </si>
  <si>
    <t xml:space="preserve">Receita total em % do PIB (fórmula)</t>
  </si>
  <si>
    <t xml:space="preserve">Despesa total em % do PIB (fórmula)</t>
  </si>
  <si>
    <t xml:space="preserve">Receita fiscal em % do PIB (fórmula)</t>
  </si>
  <si>
    <t xml:space="preserve">Saldo das AP em contabilidade pública</t>
  </si>
  <si>
    <t xml:space="preserve">Relatório OE2027, Quadro 3.3, pág. 61 do PDF (pág. impressa 45)</t>
  </si>
  <si>
    <t xml:space="preserve">Dívida pública (% do PIB)</t>
  </si>
  <si>
    <t xml:space="preserve">Fonte: Relatório OE2027, Quadro 3.6, pág. 65 do PDF (pág. impressa 49)</t>
  </si>
  <si>
    <t xml:space="preserve">Ano</t>
  </si>
  <si>
    <t xml:space="preserve">% do PIB</t>
  </si>
  <si>
    <t xml:space="preserve">Variação p.p. (fórmula)</t>
  </si>
  <si>
    <t xml:space="preserve">Variação p.p. na fonte</t>
  </si>
  <si>
    <t xml:space="preserve">2024</t>
  </si>
  <si>
    <t xml:space="preserve">2025</t>
  </si>
  <si>
    <t xml:space="preserve">Saldo por subsetor (contabilidade nacional)</t>
  </si>
  <si>
    <t xml:space="preserve">Fonte: Relatório OE2027, Quadro 3.3, pág. 61 do PDF (pág. impressa 45)</t>
  </si>
  <si>
    <t xml:space="preserve">Subsetor</t>
  </si>
  <si>
    <t xml:space="preserve">Segurança Social</t>
  </si>
  <si>
    <t xml:space="preserve">Administração Regional e Local</t>
  </si>
  <si>
    <t xml:space="preserve">Administração Central</t>
  </si>
  <si>
    <t xml:space="preserve">Soma (fórmula)</t>
  </si>
  <si>
    <t xml:space="preserve">Total na fonte</t>
  </si>
  <si>
    <t xml:space="preserve">Diferença (soma − fonte)</t>
  </si>
  <si>
    <t xml:space="preserve">Cenário macroeconómico</t>
  </si>
  <si>
    <t xml:space="preserve">Fonte: Relatório OE2027, Quadro 2.3, pág. 41 do PDF (pág. impressa 25). Taxas de variação em %, salvo indicação.</t>
  </si>
  <si>
    <t xml:space="preserve">2026 (estimativa)</t>
  </si>
  <si>
    <t xml:space="preserve">2027 (previsão)</t>
  </si>
  <si>
    <t xml:space="preserve">PIB (real)</t>
  </si>
  <si>
    <t xml:space="preserve">Consumo privado</t>
  </si>
  <si>
    <t xml:space="preserve">Consumo público</t>
  </si>
  <si>
    <t xml:space="preserve">Investimento (FBCF)</t>
  </si>
  <si>
    <t xml:space="preserve">Exportações</t>
  </si>
  <si>
    <t xml:space="preserve">Importações</t>
  </si>
  <si>
    <t xml:space="preserve">Inflação (IHPC)</t>
  </si>
  <si>
    <t xml:space="preserve">Emprego</t>
  </si>
  <si>
    <t xml:space="preserve">Taxa de desemprego (% da população ativa)</t>
  </si>
  <si>
    <t xml:space="preserve">Remunerações por trabalhador</t>
  </si>
  <si>
    <t xml:space="preserve">Conta das Administrações Públicas — contabilidade nacional (M€)</t>
  </si>
  <si>
    <t xml:space="preserve">Receita</t>
  </si>
  <si>
    <t xml:space="preserve">Fonte: Relatório OE2027, Quadro 3.1, pág. 54 do PDF (pág. impressa 38)</t>
  </si>
  <si>
    <t xml:space="preserve">Rubrica</t>
  </si>
  <si>
    <t xml:space="preserve">Peso % em 2027</t>
  </si>
  <si>
    <t xml:space="preserve">Impostos sobre a produção e a importação</t>
  </si>
  <si>
    <t xml:space="preserve">Contribuições sociais</t>
  </si>
  <si>
    <t xml:space="preserve">Impostos sobre o rendimento e o património</t>
  </si>
  <si>
    <t xml:space="preserve">Vendas</t>
  </si>
  <si>
    <t xml:space="preserve">Outra receita corrente</t>
  </si>
  <si>
    <t xml:space="preserve">Receita de capital</t>
  </si>
  <si>
    <t xml:space="preserve">Despesa</t>
  </si>
  <si>
    <t xml:space="preserve">Prestações sociais</t>
  </si>
  <si>
    <t xml:space="preserve">Despesas com pessoal</t>
  </si>
  <si>
    <t xml:space="preserve">Consumo intermédio</t>
  </si>
  <si>
    <t xml:space="preserve">Outra despesa corrente</t>
  </si>
  <si>
    <t xml:space="preserve">Subsídios</t>
  </si>
  <si>
    <t xml:space="preserve">Outra despesa de capital</t>
  </si>
  <si>
    <t xml:space="preserve">Receita fiscal do Estado e despesa fiscal (M€)</t>
  </si>
  <si>
    <t xml:space="preserve">Receita fiscal do Estado</t>
  </si>
  <si>
    <t xml:space="preserve">Fonte: Relatório OE2027, Quadro 4.4, pág. 72 do PDF (pág. impressa 56)</t>
  </si>
  <si>
    <t xml:space="preserve">IVA (Imposto sobre o Valor Acrescentado, pago no consumo de bens e serviços)</t>
  </si>
  <si>
    <t xml:space="preserve">IRS (Imposto sobre o rendimento das pessoas: salários, pensões, rendas, mais-valias)</t>
  </si>
  <si>
    <t xml:space="preserve">IRC (Imposto sobre o lucro das empresas)</t>
  </si>
  <si>
    <t xml:space="preserve">ISP (Imposto sobre os produtos petrolíferos e energéticos, pago sobretudo nos combustíveis)</t>
  </si>
  <si>
    <t xml:space="preserve">Imposto do Selo (Incide sobre contratos, crédito, seguros e outras operações)</t>
  </si>
  <si>
    <t xml:space="preserve">Imposto sobre o tabaco (Imposto especial sobre cigarros e outros produtos de tabaco)</t>
  </si>
  <si>
    <t xml:space="preserve">IUC (Imposto único de circulação, pago todos os anos por quem tem um veículo)</t>
  </si>
  <si>
    <t xml:space="preserve">Impostos sobre veículos (ISV, pago quando um veículo é matriculado em Portugal)</t>
  </si>
  <si>
    <t xml:space="preserve">Outros impostos diretos (Contribuições setoriais, como energia e banca, e adicional ao IMI (CESE, AIMI, CSB, CST))</t>
  </si>
  <si>
    <t xml:space="preserve">IABA (Imposto sobre o álcool, as bebidas alcoólicas e as bebidas açucaradas)</t>
  </si>
  <si>
    <t xml:space="preserve">Outros impostos indiretos (Contribuições da indústria farmacêutica, dos dispositivos médicos e do audiovisual (CEIF, CEFID, CAV))</t>
  </si>
  <si>
    <t xml:space="preserve">Despesa fiscal do Estado por imposto (benefícios fiscais)</t>
  </si>
  <si>
    <t xml:space="preserve">Fonte: Relatório OE2027, Quadro 4.5, pág. 76 do PDF (pág. impressa 60)</t>
  </si>
  <si>
    <t xml:space="preserve">IVA</t>
  </si>
  <si>
    <t xml:space="preserve">IRS</t>
  </si>
  <si>
    <t xml:space="preserve">IRC</t>
  </si>
  <si>
    <t xml:space="preserve">ISP</t>
  </si>
  <si>
    <t xml:space="preserve">Imposto do Selo</t>
  </si>
  <si>
    <t xml:space="preserve">Imposto sobre o tabaco</t>
  </si>
  <si>
    <t xml:space="preserve">IUC</t>
  </si>
  <si>
    <t xml:space="preserve">Impostos sobre veículos</t>
  </si>
  <si>
    <t xml:space="preserve">IABA</t>
  </si>
  <si>
    <t xml:space="preserve">Administração Central — despesa efetiva consolidada por natureza (M€)</t>
  </si>
  <si>
    <t xml:space="preserve">Despesa efetiva por classificação económica</t>
  </si>
  <si>
    <t xml:space="preserve">Fonte: Relatório OE2027, Quadro 4.7, pág. 84 do PDF (pág. impressa 68)</t>
  </si>
  <si>
    <t xml:space="preserve">Transferências</t>
  </si>
  <si>
    <t xml:space="preserve">Aquisição de bens e serviços</t>
  </si>
  <si>
    <t xml:space="preserve">Juros e outros encargos</t>
  </si>
  <si>
    <t xml:space="preserve">Investimento</t>
  </si>
  <si>
    <t xml:space="preserve">Outras despesas</t>
  </si>
  <si>
    <t xml:space="preserve">Diferenças de consolidação</t>
  </si>
  <si>
    <t xml:space="preserve">Juros e outros encargos (linha 8) entram na despesa efetiva; a despesa primária na fonte é 96 898,5 (2026) e 97 701,5 (2027).</t>
  </si>
  <si>
    <t xml:space="preserve">Transferências correntes e de capital</t>
  </si>
  <si>
    <t xml:space="preserve">Fonte: Relatório OE2027, Quadro 4.10, pág. 87 do PDF (pág. impressa 71)</t>
  </si>
  <si>
    <t xml:space="preserve">Orçamento da Segurança Social</t>
  </si>
  <si>
    <t xml:space="preserve">Pensões e abonos da Caixa Geral de Aposentações</t>
  </si>
  <si>
    <t xml:space="preserve">Autarquias: Lei das Finanças Locais</t>
  </si>
  <si>
    <t xml:space="preserve">Contribuição para a União Europeia</t>
  </si>
  <si>
    <t xml:space="preserve">Fundo Ambiental</t>
  </si>
  <si>
    <t xml:space="preserve">Autarquias: Fundo de Financiamento da Descentralização</t>
  </si>
  <si>
    <t xml:space="preserve">IFAP (agricultura e pescas)</t>
  </si>
  <si>
    <t xml:space="preserve">IAPMEI</t>
  </si>
  <si>
    <t xml:space="preserve">Outros</t>
  </si>
  <si>
    <t xml:space="preserve">Despesas com pessoal por programa (2027)</t>
  </si>
  <si>
    <t xml:space="preserve">Fonte: Relatório OE2027, Quadro 4.8, pág. 85 do PDF (pág. impressa 69)</t>
  </si>
  <si>
    <t xml:space="preserve">Saúde</t>
  </si>
  <si>
    <t xml:space="preserve">Educação</t>
  </si>
  <si>
    <t xml:space="preserve">Segurança Interna</t>
  </si>
  <si>
    <t xml:space="preserve">Ensino Superior, Ciência e Inovação</t>
  </si>
  <si>
    <t xml:space="preserve">Defesa</t>
  </si>
  <si>
    <t xml:space="preserve">Justiça</t>
  </si>
  <si>
    <t xml:space="preserve">Finanças</t>
  </si>
  <si>
    <t xml:space="preserve">Trabalho, Solidariedade e Segurança Social</t>
  </si>
  <si>
    <t xml:space="preserve">Infraestruturas e Habitação</t>
  </si>
  <si>
    <t xml:space="preserve">Órgãos de Soberania</t>
  </si>
  <si>
    <t xml:space="preserve">Governação</t>
  </si>
  <si>
    <t xml:space="preserve">Representação Externa</t>
  </si>
  <si>
    <t xml:space="preserve">Agricultura e Mar</t>
  </si>
  <si>
    <t xml:space="preserve">Economia</t>
  </si>
  <si>
    <t xml:space="preserve">Coesão Territorial</t>
  </si>
  <si>
    <t xml:space="preserve">Ambiente e Energia</t>
  </si>
  <si>
    <t xml:space="preserve">Cultura</t>
  </si>
  <si>
    <t xml:space="preserve">Juventude e Desporto</t>
  </si>
  <si>
    <t xml:space="preserve">Reforma do Estado</t>
  </si>
  <si>
    <t xml:space="preserve">Fonte: Relatório OE2027, Quadro 4.9, pág. 86 do PDF (pág. impressa 70)</t>
  </si>
  <si>
    <t xml:space="preserve">Juros e encargos da dívida pública</t>
  </si>
  <si>
    <t xml:space="preserve">Juros suportados por empresas públicas reclassificadas</t>
  </si>
  <si>
    <t xml:space="preserve">Aquisição de bens e serviços — pesos citados no texto (valores aproximados)</t>
  </si>
  <si>
    <t xml:space="preserve">Fonte: Relatório OE2027, texto a seguir ao Quadro 4.8, págs. 85-86 do PDF. Valor = peso × total do agregado.</t>
  </si>
  <si>
    <t xml:space="preserve">Programa ou entidade</t>
  </si>
  <si>
    <t xml:space="preserve">Peso na fonte</t>
  </si>
  <si>
    <t xml:space="preserve">Valor 2027 (fórmula)</t>
  </si>
  <si>
    <t xml:space="preserve">Finanças (ADSE)</t>
  </si>
  <si>
    <t xml:space="preserve">Restantes</t>
  </si>
  <si>
    <t xml:space="preserve">Total do agregado (Quadro 4.7)</t>
  </si>
  <si>
    <t xml:space="preserve">Investimento — pesos citados no texto (valores aproximados)</t>
  </si>
  <si>
    <t xml:space="preserve">Fonte: Relatório OE2027, texto a seguir ao Quadro 4.10, págs. 87-88 do PDF. Valor = peso × total do agregado.</t>
  </si>
  <si>
    <t xml:space="preserve">Subsídios — pesos citados no texto (valores aproximados)</t>
  </si>
  <si>
    <t xml:space="preserve">IEFP</t>
  </si>
  <si>
    <t xml:space="preserve">Administração Central — Programas Legados (M€)</t>
  </si>
  <si>
    <t xml:space="preserve">Fonte: Relatório OE2027 — despesa efetiva: conta de cada Programa Legado (capítulo 5, linha «Despesa efetiva consolidada»); pessoal: Quadro 4.8; despesa total e PRR: Quadro 4.32 (pág. 139 do PDF).</t>
  </si>
  <si>
    <t xml:space="preserve">Programa</t>
  </si>
  <si>
    <t xml:space="preserve">Efetiva 2026</t>
  </si>
  <si>
    <t xml:space="preserve">Efetiva 2027</t>
  </si>
  <si>
    <t xml:space="preserve">Pessoal 2027</t>
  </si>
  <si>
    <t xml:space="preserve">Pessoal em % da efetiva</t>
  </si>
  <si>
    <t xml:space="preserve">Despesa total 2027</t>
  </si>
  <si>
    <t xml:space="preserve">PRR 2027</t>
  </si>
  <si>
    <t xml:space="preserve">Quadro</t>
  </si>
  <si>
    <t xml:space="preserve">Pág. PDF</t>
  </si>
  <si>
    <t xml:space="preserve">5.41</t>
  </si>
  <si>
    <t xml:space="preserve">5.37</t>
  </si>
  <si>
    <t xml:space="preserve">5.11</t>
  </si>
  <si>
    <t xml:space="preserve">Gestão da Dívida Pública</t>
  </si>
  <si>
    <t xml:space="preserve">5.14</t>
  </si>
  <si>
    <t xml:space="preserve">5.33</t>
  </si>
  <si>
    <t xml:space="preserve">5.2</t>
  </si>
  <si>
    <t xml:space="preserve">5.25</t>
  </si>
  <si>
    <t xml:space="preserve">5.22</t>
  </si>
  <si>
    <t xml:space="preserve">5.35</t>
  </si>
  <si>
    <t xml:space="preserve">5.30</t>
  </si>
  <si>
    <t xml:space="preserve">5.44</t>
  </si>
  <si>
    <t xml:space="preserve">5.28</t>
  </si>
  <si>
    <t xml:space="preserve">5.51</t>
  </si>
  <si>
    <t xml:space="preserve">5.16</t>
  </si>
  <si>
    <t xml:space="preserve">5.6</t>
  </si>
  <si>
    <t xml:space="preserve">5.47</t>
  </si>
  <si>
    <t xml:space="preserve">5.9</t>
  </si>
  <si>
    <t xml:space="preserve">5.18</t>
  </si>
  <si>
    <t xml:space="preserve">5.49</t>
  </si>
  <si>
    <t xml:space="preserve">5.20</t>
  </si>
  <si>
    <t xml:space="preserve">A soma da despesa efetiva dos programas não tem total na fonte: excede a despesa efetiva consolidada (106 081,9) porque inclui fluxos entre programas.</t>
  </si>
  <si>
    <t xml:space="preserve">Da soma dos programas à despesa primária — Administração Central (M€)</t>
  </si>
  <si>
    <t xml:space="preserve">Fonte: Relatório OE2027, Quadro 4.32, pág. 139 do PDF (pág. impressa 123); juros e despesa primária: Quadro 4.7 (pág. 84 do PDF).</t>
  </si>
  <si>
    <t xml:space="preserve">Passo</t>
  </si>
  <si>
    <t xml:space="preserve">Valor na fonte</t>
  </si>
  <si>
    <t xml:space="preserve">Resultado (fórmula)</t>
  </si>
  <si>
    <t xml:space="preserve">Diferença</t>
  </si>
  <si>
    <t xml:space="preserve">Nota</t>
  </si>
  <si>
    <t xml:space="preserve">Soma da despesa total consolidada dos Programas Legados (1)</t>
  </si>
  <si>
    <t xml:space="preserve">(−) Fluxos para outros Programas Legados (2)</t>
  </si>
  <si>
    <t xml:space="preserve">(=) Despesa total consolidada da AC (3)=(1)−(2)</t>
  </si>
  <si>
    <t xml:space="preserve">(+) Dotações centralizadas no Ministério das Finanças (4)</t>
  </si>
  <si>
    <t xml:space="preserve">(=) Despesa total consolidada — Mapa 1 (5)=(3)+(4)</t>
  </si>
  <si>
    <t xml:space="preserve">(−) Ativos e passivos financeiros consolidados (6)</t>
  </si>
  <si>
    <t xml:space="preserve">(+) Diferenças de consolidação (7)</t>
  </si>
  <si>
    <t xml:space="preserve">(=) Despesa efetiva consolidada (8)=(5)−(6)+(7)</t>
  </si>
  <si>
    <t xml:space="preserve">(−) Juros e outros encargos</t>
  </si>
  <si>
    <t xml:space="preserve">(=) Despesa primária</t>
  </si>
  <si>
    <t xml:space="preserve">Despesa efetiva em % do PIB (fórmula)</t>
  </si>
  <si>
    <t xml:space="preserve">Na fonte: 31,2% (Quadro 4.7)</t>
  </si>
  <si>
    <t xml:space="preserve">Despesa primária em % do PIB (fórmula)</t>
  </si>
  <si>
    <t xml:space="preserve">Na fonte: 28,7% (Quadro 4.7)</t>
  </si>
  <si>
    <t xml:space="preserve">Orçamento da Segurança Social — contabilidade pública (M€)</t>
  </si>
  <si>
    <t xml:space="preserve">Fonte: Relatório OE2027, Quadro 4.17, pág. 100 do PDF (pág. impressa 84)</t>
  </si>
  <si>
    <t xml:space="preserve">2026 (previsão de execução)</t>
  </si>
  <si>
    <t xml:space="preserve">OSS 2027</t>
  </si>
  <si>
    <t xml:space="preserve">Peso % em OSS 2027</t>
  </si>
  <si>
    <t xml:space="preserve">Contribuições e quotizações</t>
  </si>
  <si>
    <t xml:space="preserve">Transferências do OE (Lei de Bases)</t>
  </si>
  <si>
    <t xml:space="preserve">Fundos da União Europeia</t>
  </si>
  <si>
    <t xml:space="preserve">IVA social</t>
  </si>
  <si>
    <t xml:space="preserve">Outras entidades da Administração Central</t>
  </si>
  <si>
    <t xml:space="preserve">Receita de IRC consignada</t>
  </si>
  <si>
    <t xml:space="preserve">Total da receita na fonte</t>
  </si>
  <si>
    <t xml:space="preserve">«Outras receitas» (fonte − soma)</t>
  </si>
  <si>
    <t xml:space="preserve">A página mostra as seis maiores rubricas e agrega as restantes em «Outras receitas», calculada aqui por diferença.</t>
  </si>
  <si>
    <t xml:space="preserve">Principais despesas (seleção; não soma o total)</t>
  </si>
  <si>
    <t xml:space="preserve">Pensões</t>
  </si>
  <si>
    <t xml:space="preserve">Ação social</t>
  </si>
  <si>
    <t xml:space="preserve">Desemprego e apoio ao emprego</t>
  </si>
  <si>
    <t xml:space="preserve">Parentalidade</t>
  </si>
  <si>
    <t xml:space="preserve">Abono de família</t>
  </si>
  <si>
    <t xml:space="preserve">Subsídio por doença</t>
  </si>
  <si>
    <t xml:space="preserve">Prestação social para a inclusão</t>
  </si>
  <si>
    <t xml:space="preserve">Prestação Social Única</t>
  </si>
  <si>
    <t xml:space="preserve">Complemento Solidário para Idosos</t>
  </si>
  <si>
    <t xml:space="preserve">Administração</t>
  </si>
  <si>
    <t xml:space="preserve">Total da despesa na fonte</t>
  </si>
  <si>
    <t xml:space="preserve">Rubricas não listadas (fonte − soma)</t>
  </si>
  <si>
    <t xml:space="preserve">Saldo global na fonte</t>
  </si>
  <si>
    <t xml:space="preserve">A linha «Pensões» é transcrita tal como no quadro. Sobrevivência (3 598,2) e invalidez (1 476,0) têm linhas próprias e as linhas do Quadro 4.17 não reconciliam com o total das despesas correntes, pelo que não é possível confirmar se já estão incluídas.</t>
  </si>
  <si>
    <t xml:space="preserve">Principais medidas de política orçamental com impacto em 2027 (M€)</t>
  </si>
  <si>
    <t xml:space="preserve">Fonte: Relatório OE2027, Quadro 3.2, pág. 59 do PDF (pág. impressa 43). Impacto no saldo = valor na fonte para a receita; simétrico do valor na fonte para a despesa.</t>
  </si>
  <si>
    <t xml:space="preserve">Lado</t>
  </si>
  <si>
    <t xml:space="preserve">Área</t>
  </si>
  <si>
    <t xml:space="preserve">Medida</t>
  </si>
  <si>
    <t xml:space="preserve">Impacto no saldo (fórmula)</t>
  </si>
  <si>
    <t xml:space="preserve">Combate à fraude no setor dos combustíveis</t>
  </si>
  <si>
    <t xml:space="preserve">IVA da construção de habitação de 23% para 6%</t>
  </si>
  <si>
    <t xml:space="preserve">Atualização da dedução específica e dos escalões</t>
  </si>
  <si>
    <t xml:space="preserve">Receita decorrente do aumento de salários</t>
  </si>
  <si>
    <t xml:space="preserve">IRS das rendas moderadas de 25% para 10%</t>
  </si>
  <si>
    <t xml:space="preserve">Atualização do mínimo de existência</t>
  </si>
  <si>
    <t xml:space="preserve">Redução da taxa em 1 p.p.</t>
  </si>
  <si>
    <t xml:space="preserve">Reversão do SIFIDE indireto</t>
  </si>
  <si>
    <t xml:space="preserve">Contribuições</t>
  </si>
  <si>
    <t xml:space="preserve">Pessoal</t>
  </si>
  <si>
    <t xml:space="preserve">Aumentos do acordo de rendimentos</t>
  </si>
  <si>
    <t xml:space="preserve">Acordos salariais</t>
  </si>
  <si>
    <t xml:space="preserve">Aumento do salário mínimo (RMMG)</t>
  </si>
  <si>
    <t xml:space="preserve">Prestações</t>
  </si>
  <si>
    <t xml:space="preserve">Reforço do Complemento Solidário para Idosos</t>
  </si>
  <si>
    <t xml:space="preserve">Medidas de receita — soma (fórmula)</t>
  </si>
  <si>
    <t xml:space="preserve">Medidas de despesa — soma (fórmula)</t>
  </si>
  <si>
    <t xml:space="preserve">Impacto no saldo — soma (fórmula)</t>
  </si>
  <si>
    <t xml:space="preserve">Medidas de receita — total na fonte</t>
  </si>
  <si>
    <t xml:space="preserve">Medidas de despesa — total na fonte</t>
  </si>
  <si>
    <t xml:space="preserve">Impacto no saldo — total na fonte</t>
  </si>
  <si>
    <t xml:space="preserve">Diferenças (soma − fonte)</t>
  </si>
  <si>
    <t xml:space="preserve">Despesa: diferença</t>
  </si>
  <si>
    <t xml:space="preserve">As diferenças de 1 resultam do arredondamento das parcelas na fonte.</t>
  </si>
  <si>
    <t xml:space="preserve">Mapa 12 — Participação dos municípios nos impostos do Estado, 2027 (euros)</t>
  </si>
  <si>
    <t xml:space="preserve">Fonte: Mapa 12 da Proposta de Lei (876667ac-77d7-4412-b18f-5f1ac8481157.pdf). Regiões Autónomas (Mapa 11): Açores 359 908 450 €; Madeira 337 482 599 €.</t>
  </si>
  <si>
    <t xml:space="preserve">Município</t>
  </si>
  <si>
    <t xml:space="preserve">Distrito / região</t>
  </si>
  <si>
    <t xml:space="preserve">FEF total (3)</t>
  </si>
  <si>
    <t xml:space="preserve">N.º 3 art.º 35.º (4)</t>
  </si>
  <si>
    <t xml:space="preserve">IRS município (7)</t>
  </si>
  <si>
    <t xml:space="preserve">% IRS (6)</t>
  </si>
  <si>
    <t xml:space="preserve">IVA (8)</t>
  </si>
  <si>
    <t xml:space="preserve">FSM (9)</t>
  </si>
  <si>
    <t xml:space="preserve">FFD (10)</t>
  </si>
  <si>
    <t xml:space="preserve">Total na fonte (11)</t>
  </si>
  <si>
    <t xml:space="preserve">Total geral na fonte</t>
  </si>
  <si>
    <t xml:space="preserve">ÁGUEDA</t>
  </si>
  <si>
    <t xml:space="preserve">AVEIRO</t>
  </si>
  <si>
    <t xml:space="preserve">ALBERGARIA-A-VELHA</t>
  </si>
  <si>
    <t xml:space="preserve">ANADIA</t>
  </si>
  <si>
    <t xml:space="preserve">AROUCA</t>
  </si>
  <si>
    <t xml:space="preserve">CASTELO DE PAIVA</t>
  </si>
  <si>
    <t xml:space="preserve">ESPINHO</t>
  </si>
  <si>
    <t xml:space="preserve">ESTARREJA</t>
  </si>
  <si>
    <t xml:space="preserve">ÍLHAVO</t>
  </si>
  <si>
    <t xml:space="preserve">MEALHADA</t>
  </si>
  <si>
    <t xml:space="preserve">MURTOSA</t>
  </si>
  <si>
    <t xml:space="preserve">OLIVEIRA DE AZEMÉIS</t>
  </si>
  <si>
    <t xml:space="preserve">OLIVEIRA DO BAIRRO</t>
  </si>
  <si>
    <t xml:space="preserve">OVAR</t>
  </si>
  <si>
    <t xml:space="preserve">SANTA MARIA DA FEIRA</t>
  </si>
  <si>
    <t xml:space="preserve">SÃO JOÃO DA MADEIRA</t>
  </si>
  <si>
    <t xml:space="preserve">SEVER DO VOUGA</t>
  </si>
  <si>
    <t xml:space="preserve">VAGOS</t>
  </si>
  <si>
    <t xml:space="preserve">VALE DE CAMBRA</t>
  </si>
  <si>
    <t xml:space="preserve">ALJUSTREL</t>
  </si>
  <si>
    <t xml:space="preserve">BEJA</t>
  </si>
  <si>
    <t xml:space="preserve">ALMODÔVAR</t>
  </si>
  <si>
    <t xml:space="preserve">ALVITO</t>
  </si>
  <si>
    <t xml:space="preserve">BARRANCOS</t>
  </si>
  <si>
    <t xml:space="preserve">CASTRO VERDE</t>
  </si>
  <si>
    <t xml:space="preserve">CUBA</t>
  </si>
  <si>
    <t xml:space="preserve">FERREIRA DO ALENTEJO</t>
  </si>
  <si>
    <t xml:space="preserve">MÉRTOLA</t>
  </si>
  <si>
    <t xml:space="preserve">MOURA</t>
  </si>
  <si>
    <t xml:space="preserve">ODEMIRA</t>
  </si>
  <si>
    <t xml:space="preserve">OURIQUE</t>
  </si>
  <si>
    <t xml:space="preserve">SERPA</t>
  </si>
  <si>
    <t xml:space="preserve">VIDIGUEIRA</t>
  </si>
  <si>
    <t xml:space="preserve">AMARES</t>
  </si>
  <si>
    <t xml:space="preserve">BRAGA</t>
  </si>
  <si>
    <t xml:space="preserve">BARCELOS</t>
  </si>
  <si>
    <t xml:space="preserve">CABECEIRAS DE BASTO</t>
  </si>
  <si>
    <t xml:space="preserve">CELORICO DE BASTO</t>
  </si>
  <si>
    <t xml:space="preserve">ESPOSENDE</t>
  </si>
  <si>
    <t xml:space="preserve">FAFE</t>
  </si>
  <si>
    <t xml:space="preserve">GUIMARÃES</t>
  </si>
  <si>
    <t xml:space="preserve">PÓVOA DE LANHOSO</t>
  </si>
  <si>
    <t xml:space="preserve">TERRAS DE BOURO</t>
  </si>
  <si>
    <t xml:space="preserve">VIEIRA DO MINHO</t>
  </si>
  <si>
    <t xml:space="preserve">VILA NOVA DE FAMALICÃO</t>
  </si>
  <si>
    <t xml:space="preserve">VILA VERDE</t>
  </si>
  <si>
    <t xml:space="preserve">VIZELA</t>
  </si>
  <si>
    <t xml:space="preserve">ALFÂNDEGA DA FÉ</t>
  </si>
  <si>
    <t xml:space="preserve">BRAGANÇA</t>
  </si>
  <si>
    <t xml:space="preserve">CARRAZEDA DE ANSIÃES</t>
  </si>
  <si>
    <t xml:space="preserve">FREIXO DE ESPADA À CINTA</t>
  </si>
  <si>
    <t xml:space="preserve">MACEDO DE CAVALEIROS</t>
  </si>
  <si>
    <t xml:space="preserve">MIRANDA DO DOURO</t>
  </si>
  <si>
    <t xml:space="preserve">MIRANDELA</t>
  </si>
  <si>
    <t xml:space="preserve">MOGADOURO</t>
  </si>
  <si>
    <t xml:space="preserve">TORRE DE MONCORVO</t>
  </si>
  <si>
    <t xml:space="preserve">VILA FLOR</t>
  </si>
  <si>
    <t xml:space="preserve">VIMIOSO</t>
  </si>
  <si>
    <t xml:space="preserve">VINHAIS</t>
  </si>
  <si>
    <t xml:space="preserve">BELMONTE</t>
  </si>
  <si>
    <t xml:space="preserve">CASTELO BRANCO</t>
  </si>
  <si>
    <t xml:space="preserve">COVILHÃ</t>
  </si>
  <si>
    <t xml:space="preserve">FUNDÃO</t>
  </si>
  <si>
    <t xml:space="preserve">IDANHA-A-NOVA</t>
  </si>
  <si>
    <t xml:space="preserve">OLEIROS</t>
  </si>
  <si>
    <t xml:space="preserve">PENAMACOR</t>
  </si>
  <si>
    <t xml:space="preserve">PROENÇA-A-NOVA</t>
  </si>
  <si>
    <t xml:space="preserve">SERTÃ</t>
  </si>
  <si>
    <t xml:space="preserve">VILA DE REI</t>
  </si>
  <si>
    <t xml:space="preserve">VILA VELHA DE RÓDÃO</t>
  </si>
  <si>
    <t xml:space="preserve">ARGANIL</t>
  </si>
  <si>
    <t xml:space="preserve">COIMBRA</t>
  </si>
  <si>
    <t xml:space="preserve">CANTANHEDE</t>
  </si>
  <si>
    <t xml:space="preserve">CONDEIXA-A-NOVA</t>
  </si>
  <si>
    <t xml:space="preserve">FIGUEIRA DA FOZ</t>
  </si>
  <si>
    <t xml:space="preserve">GÓIS</t>
  </si>
  <si>
    <t xml:space="preserve">LOUSÃ</t>
  </si>
  <si>
    <t xml:space="preserve">MIRA</t>
  </si>
  <si>
    <t xml:space="preserve">MIRANDA DO CORVO</t>
  </si>
  <si>
    <t xml:space="preserve">MONTEMOR-O-VELHO</t>
  </si>
  <si>
    <t xml:space="preserve">OLIVEIRA DO HOSPITAL</t>
  </si>
  <si>
    <t xml:space="preserve">PAMPILHOSA DA SERRA</t>
  </si>
  <si>
    <t xml:space="preserve">PENACOVA</t>
  </si>
  <si>
    <t xml:space="preserve">PENELA</t>
  </si>
  <si>
    <t xml:space="preserve">SOURE</t>
  </si>
  <si>
    <t xml:space="preserve">TÁBUA</t>
  </si>
  <si>
    <t xml:space="preserve">VILA NOVA DE POIARES</t>
  </si>
  <si>
    <t xml:space="preserve">ALANDROAL</t>
  </si>
  <si>
    <t xml:space="preserve">ÉVORA</t>
  </si>
  <si>
    <t xml:space="preserve">ARRAIOLOS</t>
  </si>
  <si>
    <t xml:space="preserve">BORBA</t>
  </si>
  <si>
    <t xml:space="preserve">ESTREMOZ</t>
  </si>
  <si>
    <t xml:space="preserve">MONTEMOR-O-NOVO</t>
  </si>
  <si>
    <t xml:space="preserve">MORA</t>
  </si>
  <si>
    <t xml:space="preserve">MOURÃO</t>
  </si>
  <si>
    <t xml:space="preserve">PORTEL</t>
  </si>
  <si>
    <t xml:space="preserve">REDONDO</t>
  </si>
  <si>
    <t xml:space="preserve">REGUENGOS DE MONSARAZ</t>
  </si>
  <si>
    <t xml:space="preserve">VENDAS NOVAS</t>
  </si>
  <si>
    <t xml:space="preserve">VIANA DO ALENTEJO</t>
  </si>
  <si>
    <t xml:space="preserve">VILA VIÇOSA</t>
  </si>
  <si>
    <t xml:space="preserve">ALBUFEIRA</t>
  </si>
  <si>
    <t xml:space="preserve">FARO</t>
  </si>
  <si>
    <t xml:space="preserve">ALCOUTIM</t>
  </si>
  <si>
    <t xml:space="preserve">ALJEZUR</t>
  </si>
  <si>
    <t xml:space="preserve">CASTRO MARIM</t>
  </si>
  <si>
    <t xml:space="preserve">LAGOA</t>
  </si>
  <si>
    <t xml:space="preserve">LAGOS</t>
  </si>
  <si>
    <t xml:space="preserve">LOULÉ</t>
  </si>
  <si>
    <t xml:space="preserve">MONCHIQUE</t>
  </si>
  <si>
    <t xml:space="preserve">OLHÃO</t>
  </si>
  <si>
    <t xml:space="preserve">PORTIMÃO</t>
  </si>
  <si>
    <t xml:space="preserve">SÃO BRÁS DE ALPORTEL</t>
  </si>
  <si>
    <t xml:space="preserve">SILVES</t>
  </si>
  <si>
    <t xml:space="preserve">TAVIRA</t>
  </si>
  <si>
    <t xml:space="preserve">VILA DO BISPO</t>
  </si>
  <si>
    <t xml:space="preserve">VILA REAL DE SANTO ANTÓNIO</t>
  </si>
  <si>
    <t xml:space="preserve">AGUIAR DA BEIRA</t>
  </si>
  <si>
    <t xml:space="preserve">GUARDA</t>
  </si>
  <si>
    <t xml:space="preserve">ALMEIDA</t>
  </si>
  <si>
    <t xml:space="preserve">CELORICO DA BEIRA</t>
  </si>
  <si>
    <t xml:space="preserve">FIGUEIRA DE CASTELO RODRIGO</t>
  </si>
  <si>
    <t xml:space="preserve">FORNOS DE ALGODRES</t>
  </si>
  <si>
    <t xml:space="preserve">GOUVEIA</t>
  </si>
  <si>
    <t xml:space="preserve">MANTEIGAS</t>
  </si>
  <si>
    <t xml:space="preserve">MEDA</t>
  </si>
  <si>
    <t xml:space="preserve">PINHEL</t>
  </si>
  <si>
    <t xml:space="preserve">SABUGAL</t>
  </si>
  <si>
    <t xml:space="preserve">SEIA</t>
  </si>
  <si>
    <t xml:space="preserve">TRANCOSO</t>
  </si>
  <si>
    <t xml:space="preserve">VILA NOVA DE FOZ CÔA</t>
  </si>
  <si>
    <t xml:space="preserve">ALCOBAÇA</t>
  </si>
  <si>
    <t xml:space="preserve">LEIRIA</t>
  </si>
  <si>
    <t xml:space="preserve">ALVAIÁZERE</t>
  </si>
  <si>
    <t xml:space="preserve">ANSIÃO</t>
  </si>
  <si>
    <t xml:space="preserve">BATALHA</t>
  </si>
  <si>
    <t xml:space="preserve">BOMBARRAL</t>
  </si>
  <si>
    <t xml:space="preserve">CALDAS DA RAINHA</t>
  </si>
  <si>
    <t xml:space="preserve">CASTANHEIRA DE PÊRA</t>
  </si>
  <si>
    <t xml:space="preserve">FIGUEIRÓ DOS VINHOS</t>
  </si>
  <si>
    <t xml:space="preserve">MARINHA GRANDE</t>
  </si>
  <si>
    <t xml:space="preserve">NAZARÉ</t>
  </si>
  <si>
    <t xml:space="preserve">ÓBIDOS</t>
  </si>
  <si>
    <t xml:space="preserve">PEDRÓGÃO GRANDE</t>
  </si>
  <si>
    <t xml:space="preserve">PENICHE</t>
  </si>
  <si>
    <t xml:space="preserve">POMBAL</t>
  </si>
  <si>
    <t xml:space="preserve">PORTO DE MÓS</t>
  </si>
  <si>
    <t xml:space="preserve">ALENQUER</t>
  </si>
  <si>
    <t xml:space="preserve">LISBOA</t>
  </si>
  <si>
    <t xml:space="preserve">AMADORA</t>
  </si>
  <si>
    <t xml:space="preserve">ARRUDA DOS VINHOS</t>
  </si>
  <si>
    <t xml:space="preserve">AZAMBUJA</t>
  </si>
  <si>
    <t xml:space="preserve">CADAVAL</t>
  </si>
  <si>
    <t xml:space="preserve">CASCAIS</t>
  </si>
  <si>
    <t xml:space="preserve">LOURES</t>
  </si>
  <si>
    <t xml:space="preserve">LOURINHÃ</t>
  </si>
  <si>
    <t xml:space="preserve">MAFRA</t>
  </si>
  <si>
    <t xml:space="preserve">ODIVELAS</t>
  </si>
  <si>
    <t xml:space="preserve">OEIRAS</t>
  </si>
  <si>
    <t xml:space="preserve">SINTRA</t>
  </si>
  <si>
    <t xml:space="preserve">SOBRAL DE MONTE AGRAÇO</t>
  </si>
  <si>
    <t xml:space="preserve">TORRES VEDRAS</t>
  </si>
  <si>
    <t xml:space="preserve">VILA FRANCA DE XIRA</t>
  </si>
  <si>
    <t xml:space="preserve">ALTER DO CHÃO</t>
  </si>
  <si>
    <t xml:space="preserve">PORTALEGRE</t>
  </si>
  <si>
    <t xml:space="preserve">ARRONCHES</t>
  </si>
  <si>
    <t xml:space="preserve">AVIS</t>
  </si>
  <si>
    <t xml:space="preserve">CAMPO MAIOR</t>
  </si>
  <si>
    <t xml:space="preserve">CASTELO DE VIDE</t>
  </si>
  <si>
    <t xml:space="preserve">CRATO</t>
  </si>
  <si>
    <t xml:space="preserve">ELVAS</t>
  </si>
  <si>
    <t xml:space="preserve">FRONTEIRA</t>
  </si>
  <si>
    <t xml:space="preserve">GAVIÃO</t>
  </si>
  <si>
    <t xml:space="preserve">MARVÃO</t>
  </si>
  <si>
    <t xml:space="preserve">MONFORTE</t>
  </si>
  <si>
    <t xml:space="preserve">NISA</t>
  </si>
  <si>
    <t xml:space="preserve">PONTE DE SOR</t>
  </si>
  <si>
    <t xml:space="preserve">SOUSEL</t>
  </si>
  <si>
    <t xml:space="preserve">AMARANTE</t>
  </si>
  <si>
    <t xml:space="preserve">PORTO</t>
  </si>
  <si>
    <t xml:space="preserve">BAIÃO</t>
  </si>
  <si>
    <t xml:space="preserve">FELGUEIRAS</t>
  </si>
  <si>
    <t xml:space="preserve">GONDOMAR</t>
  </si>
  <si>
    <t xml:space="preserve">LOUSADA</t>
  </si>
  <si>
    <t xml:space="preserve">MAIA</t>
  </si>
  <si>
    <t xml:space="preserve">MARCO DE CANAVESES</t>
  </si>
  <si>
    <t xml:space="preserve">MATOSINHOS</t>
  </si>
  <si>
    <t xml:space="preserve">PAÇOS DE FERREIRA</t>
  </si>
  <si>
    <t xml:space="preserve">PAREDES</t>
  </si>
  <si>
    <t xml:space="preserve">PENAFIEL</t>
  </si>
  <si>
    <t xml:space="preserve">PÓVOA DE VARZIM</t>
  </si>
  <si>
    <t xml:space="preserve">SANTO TIRSO</t>
  </si>
  <si>
    <t xml:space="preserve">TROFA</t>
  </si>
  <si>
    <t xml:space="preserve">VALONGO</t>
  </si>
  <si>
    <t xml:space="preserve">VILA DO CONDE</t>
  </si>
  <si>
    <t xml:space="preserve">VILA NOVA DE GAIA</t>
  </si>
  <si>
    <t xml:space="preserve">ABRANTES</t>
  </si>
  <si>
    <t xml:space="preserve">SANTARÉM</t>
  </si>
  <si>
    <t xml:space="preserve">ALCANENA</t>
  </si>
  <si>
    <t xml:space="preserve">ALMEIRIM</t>
  </si>
  <si>
    <t xml:space="preserve">ALPIARÇA</t>
  </si>
  <si>
    <t xml:space="preserve">BENAVENTE</t>
  </si>
  <si>
    <t xml:space="preserve">CARTAXO</t>
  </si>
  <si>
    <t xml:space="preserve">CHAMUSCA</t>
  </si>
  <si>
    <t xml:space="preserve">CONSTÂNCIA</t>
  </si>
  <si>
    <t xml:space="preserve">CORUCHE</t>
  </si>
  <si>
    <t xml:space="preserve">ENTRONCAMENTO</t>
  </si>
  <si>
    <t xml:space="preserve">FERREIRA DO ZÊZERE</t>
  </si>
  <si>
    <t xml:space="preserve">GOLEGÃ</t>
  </si>
  <si>
    <t xml:space="preserve">MAÇÃO</t>
  </si>
  <si>
    <t xml:space="preserve">OURÉM</t>
  </si>
  <si>
    <t xml:space="preserve">RIO MAIOR</t>
  </si>
  <si>
    <t xml:space="preserve">SALVATERRA DE MAGOS</t>
  </si>
  <si>
    <t xml:space="preserve">SARDOAL</t>
  </si>
  <si>
    <t xml:space="preserve">TOMAR</t>
  </si>
  <si>
    <t xml:space="preserve">TORRES NOVAS</t>
  </si>
  <si>
    <t xml:space="preserve">VILA NOVA DA BARQUINHA</t>
  </si>
  <si>
    <t xml:space="preserve">ALCÁCER DO SAL</t>
  </si>
  <si>
    <t xml:space="preserve">SETÚBAL</t>
  </si>
  <si>
    <t xml:space="preserve">ALCOCHETE</t>
  </si>
  <si>
    <t xml:space="preserve">ALMADA</t>
  </si>
  <si>
    <t xml:space="preserve">BARREIRO</t>
  </si>
  <si>
    <t xml:space="preserve">GRÂNDOLA</t>
  </si>
  <si>
    <t xml:space="preserve">MOITA</t>
  </si>
  <si>
    <t xml:space="preserve">MONTIJO</t>
  </si>
  <si>
    <t xml:space="preserve">PALMELA</t>
  </si>
  <si>
    <t xml:space="preserve">SANTIAGO DO CACÉM</t>
  </si>
  <si>
    <t xml:space="preserve">SEIXAL</t>
  </si>
  <si>
    <t xml:space="preserve">SESIMBRA</t>
  </si>
  <si>
    <t xml:space="preserve">SINES</t>
  </si>
  <si>
    <t xml:space="preserve">ARCOS DE VALDEVEZ</t>
  </si>
  <si>
    <t xml:space="preserve">VIANA DO CASTELO</t>
  </si>
  <si>
    <t xml:space="preserve">CAMINHA</t>
  </si>
  <si>
    <t xml:space="preserve">MELGAÇO</t>
  </si>
  <si>
    <t xml:space="preserve">MONÇÃO</t>
  </si>
  <si>
    <t xml:space="preserve">PAREDES DE COURA</t>
  </si>
  <si>
    <t xml:space="preserve">PONTE DA BARCA</t>
  </si>
  <si>
    <t xml:space="preserve">PONTE DE LIMA</t>
  </si>
  <si>
    <t xml:space="preserve">VALENÇA</t>
  </si>
  <si>
    <t xml:space="preserve">VILA NOVA DE CERVEIRA</t>
  </si>
  <si>
    <t xml:space="preserve">ALIJÓ</t>
  </si>
  <si>
    <t xml:space="preserve">VILA REAL</t>
  </si>
  <si>
    <t xml:space="preserve">BOTICAS</t>
  </si>
  <si>
    <t xml:space="preserve">CHAVES</t>
  </si>
  <si>
    <t xml:space="preserve">MESÃO FRIO</t>
  </si>
  <si>
    <t xml:space="preserve">MONDIM DE BASTO</t>
  </si>
  <si>
    <t xml:space="preserve">MONTALEGRE</t>
  </si>
  <si>
    <t xml:space="preserve">MURÇA</t>
  </si>
  <si>
    <t xml:space="preserve">PESO DA RÉGUA</t>
  </si>
  <si>
    <t xml:space="preserve">RIBEIRA DE PENA</t>
  </si>
  <si>
    <t xml:space="preserve">SABROSA</t>
  </si>
  <si>
    <t xml:space="preserve">SANTA MARTA DE PENAGUIÃO</t>
  </si>
  <si>
    <t xml:space="preserve">VALPAÇOS</t>
  </si>
  <si>
    <t xml:space="preserve">VILA POUCA DE AGUIAR</t>
  </si>
  <si>
    <t xml:space="preserve">ARMAMAR</t>
  </si>
  <si>
    <t xml:space="preserve">VISEU</t>
  </si>
  <si>
    <t xml:space="preserve">CARREGAL DO SAL</t>
  </si>
  <si>
    <t xml:space="preserve">CASTRO DAIRE</t>
  </si>
  <si>
    <t xml:space="preserve">CINFÃES</t>
  </si>
  <si>
    <t xml:space="preserve">LAMEGO</t>
  </si>
  <si>
    <t xml:space="preserve">MANGUALDE</t>
  </si>
  <si>
    <t xml:space="preserve">MOIMENTA DA BEIRA</t>
  </si>
  <si>
    <t xml:space="preserve">MORTÁGUA</t>
  </si>
  <si>
    <t xml:space="preserve">NELAS</t>
  </si>
  <si>
    <t xml:space="preserve">OLIVEIRA DE FRADES</t>
  </si>
  <si>
    <t xml:space="preserve">PENALVA DO CASTELO</t>
  </si>
  <si>
    <t xml:space="preserve">PENEDONO</t>
  </si>
  <si>
    <t xml:space="preserve">RESENDE</t>
  </si>
  <si>
    <t xml:space="preserve">SANTA COMBA DÃO</t>
  </si>
  <si>
    <t xml:space="preserve">SÃO JOÃO DA PESQUEIRA</t>
  </si>
  <si>
    <t xml:space="preserve">SÃO PEDRO DO SUL</t>
  </si>
  <si>
    <t xml:space="preserve">SÁTÃO</t>
  </si>
  <si>
    <t xml:space="preserve">SERNANCELHE</t>
  </si>
  <si>
    <t xml:space="preserve">TABUAÇO</t>
  </si>
  <si>
    <t xml:space="preserve">TAROUCA</t>
  </si>
  <si>
    <t xml:space="preserve">TONDELA</t>
  </si>
  <si>
    <t xml:space="preserve">VILA NOVA DE PAIVA</t>
  </si>
  <si>
    <t xml:space="preserve">VOUZELA</t>
  </si>
  <si>
    <t xml:space="preserve">ANGRA DO HEROÍSMO</t>
  </si>
  <si>
    <t xml:space="preserve">AÇORES</t>
  </si>
  <si>
    <t xml:space="preserve">CALHETA (SÃO JORGE)</t>
  </si>
  <si>
    <t xml:space="preserve">CORVO</t>
  </si>
  <si>
    <t xml:space="preserve">HORTA</t>
  </si>
  <si>
    <t xml:space="preserve">LAGOA (SÃO MIGUEL)</t>
  </si>
  <si>
    <t xml:space="preserve">LAJES DAS FLORES</t>
  </si>
  <si>
    <t xml:space="preserve">LAJES DO PICO</t>
  </si>
  <si>
    <t xml:space="preserve">MADALENA</t>
  </si>
  <si>
    <t xml:space="preserve">NORDESTE</t>
  </si>
  <si>
    <t xml:space="preserve">PONTA DELGADA</t>
  </si>
  <si>
    <t xml:space="preserve">POVOAÇÃO</t>
  </si>
  <si>
    <t xml:space="preserve">RIBEIRA GRANDE</t>
  </si>
  <si>
    <t xml:space="preserve">SANTA CRUZ DA GRACIOSA</t>
  </si>
  <si>
    <t xml:space="preserve">SANTA CRUZ DAS FLORES</t>
  </si>
  <si>
    <t xml:space="preserve">SÃO ROQUE DO PICO</t>
  </si>
  <si>
    <t xml:space="preserve">VELAS</t>
  </si>
  <si>
    <t xml:space="preserve">PRAIA DA VITÓRIA</t>
  </si>
  <si>
    <t xml:space="preserve">VILA DO PORTO</t>
  </si>
  <si>
    <t xml:space="preserve">VILA FRANCA DO CAMPO</t>
  </si>
  <si>
    <t xml:space="preserve">CALHETA</t>
  </si>
  <si>
    <t xml:space="preserve">MADEIRA</t>
  </si>
  <si>
    <t xml:space="preserve">CÂMARA DE LOBOS</t>
  </si>
  <si>
    <t xml:space="preserve">FUNCHAL</t>
  </si>
  <si>
    <t xml:space="preserve">MACHICO</t>
  </si>
  <si>
    <t xml:space="preserve">PONTA DO SOL</t>
  </si>
  <si>
    <t xml:space="preserve">PORTO MONIZ</t>
  </si>
  <si>
    <t xml:space="preserve">PORTO SANTO</t>
  </si>
  <si>
    <t xml:space="preserve">RIBEIRA BRAVA</t>
  </si>
  <si>
    <t xml:space="preserve">SANTA CRUZ</t>
  </si>
  <si>
    <t xml:space="preserve">SANTANA</t>
  </si>
  <si>
    <t xml:space="preserve">SÃO VICENTE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</si>
</sst>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;\-#,##0.0;0.0"/>
    <numFmt numFmtId="166" formatCode="0.0%;\-0.0%;0.0%"/>
    <numFmt numFmtId="167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D4F91"/>
        <bgColor rgb="FF003366"/>
      </patternFill>
    </fill>
    <fill>
      <patternFill patternType="solid">
        <fgColor rgb="FFEEF2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D4F9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D4F9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1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2" t="s">
        <v>15</v>
      </c>
      <c r="B10" s="3" t="s">
        <v>16</v>
      </c>
    </row>
    <row r="11" customFormat="false" ht="15" hidden="false" customHeight="false" outlineLevel="0" collapsed="false">
      <c r="A11" s="2" t="s">
        <v>17</v>
      </c>
      <c r="B11" s="3" t="s">
        <v>18</v>
      </c>
    </row>
    <row r="12" customFormat="false" ht="23.85" hidden="false" customHeight="false" outlineLevel="0" collapsed="false">
      <c r="A12" s="2" t="s">
        <v>19</v>
      </c>
      <c r="B12" s="3" t="s">
        <v>20</v>
      </c>
    </row>
    <row r="13" customFormat="false" ht="15" hidden="false" customHeight="false" outlineLevel="0" collapsed="false">
      <c r="A13" s="2" t="s">
        <v>21</v>
      </c>
      <c r="B13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20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23</v>
      </c>
    </row>
    <row r="3" customFormat="false" ht="23.85" hidden="false" customHeight="false" outlineLevel="0" collapsed="false">
      <c r="A3" s="4" t="s">
        <v>24</v>
      </c>
      <c r="B3" s="5" t="s">
        <v>25</v>
      </c>
      <c r="C3" s="5" t="s">
        <v>26</v>
      </c>
      <c r="D3" s="5" t="s">
        <v>27</v>
      </c>
      <c r="E3" s="5" t="s">
        <v>28</v>
      </c>
      <c r="F3" s="5" t="s">
        <v>29</v>
      </c>
    </row>
    <row r="4" customFormat="false" ht="15" hidden="false" customHeight="false" outlineLevel="0" collapsed="false">
      <c r="A4" s="6" t="s">
        <v>30</v>
      </c>
      <c r="B4" s="7" t="n">
        <v>146559</v>
      </c>
      <c r="C4" s="7" t="n">
        <v>143356</v>
      </c>
      <c r="D4" s="8" t="n">
        <f aca="false">C4/B4-1</f>
        <v>-0.0218546796853144</v>
      </c>
      <c r="E4" s="9" t="n">
        <v>-0.022</v>
      </c>
      <c r="F4" s="10" t="s">
        <v>31</v>
      </c>
    </row>
    <row r="5" customFormat="false" ht="15" hidden="false" customHeight="false" outlineLevel="0" collapsed="false">
      <c r="A5" s="6" t="s">
        <v>32</v>
      </c>
      <c r="B5" s="7" t="n">
        <v>137481</v>
      </c>
      <c r="C5" s="7" t="n">
        <v>143356</v>
      </c>
      <c r="D5" s="8" t="n">
        <f aca="false">C5/B5-1</f>
        <v>0.0427331776754607</v>
      </c>
      <c r="E5" s="9" t="n">
        <v>0.043</v>
      </c>
      <c r="F5" s="10" t="s">
        <v>31</v>
      </c>
    </row>
    <row r="6" customFormat="false" ht="15" hidden="false" customHeight="false" outlineLevel="0" collapsed="false">
      <c r="A6" s="6" t="s">
        <v>33</v>
      </c>
      <c r="B6" s="7" t="n">
        <v>146472</v>
      </c>
      <c r="C6" s="7" t="n">
        <v>143081</v>
      </c>
      <c r="D6" s="8" t="n">
        <f aca="false">C6/B6-1</f>
        <v>-0.0231511824785624</v>
      </c>
      <c r="E6" s="9" t="n">
        <v>-0.023</v>
      </c>
      <c r="F6" s="10" t="s">
        <v>31</v>
      </c>
    </row>
    <row r="7" customFormat="false" ht="15" hidden="false" customHeight="false" outlineLevel="0" collapsed="false">
      <c r="A7" s="6" t="s">
        <v>34</v>
      </c>
      <c r="B7" s="7" t="n">
        <v>135366</v>
      </c>
      <c r="C7" s="7" t="n">
        <v>143081</v>
      </c>
      <c r="D7" s="8" t="n">
        <f aca="false">C7/B7-1</f>
        <v>0.0569936320789564</v>
      </c>
      <c r="E7" s="9" t="n">
        <v>0.057</v>
      </c>
      <c r="F7" s="10" t="s">
        <v>31</v>
      </c>
    </row>
    <row r="8" customFormat="false" ht="15" hidden="false" customHeight="false" outlineLevel="0" collapsed="false">
      <c r="A8" s="6" t="s">
        <v>35</v>
      </c>
      <c r="B8" s="7" t="n">
        <v>78322</v>
      </c>
      <c r="C8" s="7" t="n">
        <v>80886</v>
      </c>
      <c r="D8" s="8" t="n">
        <f aca="false">C8/B8-1</f>
        <v>0.0327366512601823</v>
      </c>
      <c r="E8" s="9" t="n">
        <v>0.033</v>
      </c>
      <c r="F8" s="10" t="s">
        <v>31</v>
      </c>
    </row>
    <row r="9" customFormat="false" ht="15" hidden="false" customHeight="false" outlineLevel="0" collapsed="false">
      <c r="A9" s="6" t="s">
        <v>36</v>
      </c>
      <c r="B9" s="7" t="n">
        <v>6669</v>
      </c>
      <c r="C9" s="7" t="n">
        <v>8217</v>
      </c>
      <c r="D9" s="8" t="n">
        <f aca="false">C9/B9-1</f>
        <v>0.232118758434548</v>
      </c>
      <c r="E9" s="9" t="n">
        <v>0.232</v>
      </c>
      <c r="F9" s="10" t="s">
        <v>31</v>
      </c>
    </row>
    <row r="10" customFormat="false" ht="15" hidden="false" customHeight="false" outlineLevel="0" collapsed="false">
      <c r="A10" s="6" t="s">
        <v>37</v>
      </c>
      <c r="B10" s="7" t="n">
        <v>6756</v>
      </c>
      <c r="C10" s="7" t="n">
        <v>8492</v>
      </c>
      <c r="F10" s="10" t="s">
        <v>31</v>
      </c>
    </row>
    <row r="11" customFormat="false" ht="15" hidden="false" customHeight="false" outlineLevel="0" collapsed="false">
      <c r="A11" s="6" t="s">
        <v>38</v>
      </c>
      <c r="B11" s="7" t="n">
        <v>325495</v>
      </c>
      <c r="C11" s="7" t="n">
        <v>340539</v>
      </c>
      <c r="D11" s="8" t="n">
        <f aca="false">C11/B11-1</f>
        <v>0.0462188359268192</v>
      </c>
      <c r="E11" s="9" t="n">
        <v>0.046</v>
      </c>
      <c r="F11" s="10" t="s">
        <v>31</v>
      </c>
    </row>
    <row r="12" customFormat="false" ht="15" hidden="false" customHeight="false" outlineLevel="0" collapsed="false">
      <c r="A12" s="6" t="s">
        <v>39</v>
      </c>
      <c r="B12" s="7" t="n">
        <v>9077</v>
      </c>
      <c r="C12" s="7" t="n">
        <v>0</v>
      </c>
      <c r="F12" s="10" t="s">
        <v>31</v>
      </c>
    </row>
    <row r="13" customFormat="false" ht="15" hidden="false" customHeight="false" outlineLevel="0" collapsed="false">
      <c r="A13" s="6" t="s">
        <v>40</v>
      </c>
      <c r="B13" s="7" t="n">
        <v>11106</v>
      </c>
      <c r="C13" s="7" t="n">
        <v>0</v>
      </c>
      <c r="F13" s="10" t="s">
        <v>31</v>
      </c>
    </row>
    <row r="14" customFormat="false" ht="15" hidden="false" customHeight="false" outlineLevel="0" collapsed="false">
      <c r="A14" s="6" t="s">
        <v>41</v>
      </c>
      <c r="B14" s="7" t="n">
        <v>86</v>
      </c>
      <c r="C14" s="7" t="n">
        <v>275</v>
      </c>
      <c r="F14" s="10" t="s">
        <v>31</v>
      </c>
    </row>
    <row r="15" customFormat="false" ht="15" hidden="false" customHeight="false" outlineLevel="0" collapsed="false">
      <c r="A15" s="11" t="s">
        <v>42</v>
      </c>
      <c r="B15" s="12" t="n">
        <f aca="false">B4-B6</f>
        <v>87</v>
      </c>
      <c r="C15" s="12" t="n">
        <f aca="false">C4-C6</f>
        <v>275</v>
      </c>
    </row>
    <row r="16" customFormat="false" ht="15" hidden="false" customHeight="false" outlineLevel="0" collapsed="false">
      <c r="A16" s="6" t="s">
        <v>43</v>
      </c>
      <c r="B16" s="13" t="n">
        <f aca="false">B15-B14</f>
        <v>1</v>
      </c>
      <c r="C16" s="13" t="n">
        <f aca="false">C15-C14</f>
        <v>0</v>
      </c>
    </row>
    <row r="17" customFormat="false" ht="15" hidden="false" customHeight="false" outlineLevel="0" collapsed="false">
      <c r="A17" s="6" t="s">
        <v>44</v>
      </c>
      <c r="C17" s="8" t="n">
        <f aca="false">C4/C11</f>
        <v>0.42096793612479</v>
      </c>
      <c r="E17" s="9" t="n">
        <v>0.421</v>
      </c>
    </row>
    <row r="18" customFormat="false" ht="15" hidden="false" customHeight="false" outlineLevel="0" collapsed="false">
      <c r="A18" s="6" t="s">
        <v>45</v>
      </c>
      <c r="C18" s="8" t="n">
        <f aca="false">C6/C11</f>
        <v>0.420160392789078</v>
      </c>
      <c r="E18" s="9" t="n">
        <v>0.42</v>
      </c>
    </row>
    <row r="19" customFormat="false" ht="15" hidden="false" customHeight="false" outlineLevel="0" collapsed="false">
      <c r="A19" s="6" t="s">
        <v>46</v>
      </c>
      <c r="C19" s="8" t="n">
        <f aca="false">C8/C11</f>
        <v>0.237523455463251</v>
      </c>
      <c r="E19" s="9" t="n">
        <v>0.238</v>
      </c>
    </row>
    <row r="20" customFormat="false" ht="15" hidden="false" customHeight="false" outlineLevel="0" collapsed="false">
      <c r="A20" s="6" t="s">
        <v>47</v>
      </c>
      <c r="B20" s="7" t="n">
        <v>171</v>
      </c>
      <c r="C20" s="7" t="n">
        <v>-401</v>
      </c>
      <c r="F20" s="10" t="s">
        <v>48</v>
      </c>
    </row>
    <row r="22" customFormat="false" ht="15" hidden="false" customHeight="false" outlineLevel="0" collapsed="false">
      <c r="A22" s="14" t="s">
        <v>49</v>
      </c>
    </row>
    <row r="23" customFormat="false" ht="15" hidden="false" customHeight="false" outlineLevel="0" collapsed="false">
      <c r="A23" s="10" t="s">
        <v>50</v>
      </c>
    </row>
    <row r="24" customFormat="false" ht="23.85" hidden="false" customHeight="false" outlineLevel="0" collapsed="false">
      <c r="A24" s="4" t="s">
        <v>51</v>
      </c>
      <c r="B24" s="5" t="s">
        <v>52</v>
      </c>
      <c r="C24" s="5" t="s">
        <v>53</v>
      </c>
      <c r="D24" s="5" t="s">
        <v>54</v>
      </c>
    </row>
    <row r="25" customFormat="false" ht="15" hidden="false" customHeight="false" outlineLevel="0" collapsed="false">
      <c r="A25" s="6" t="s">
        <v>55</v>
      </c>
      <c r="B25" s="7" t="n">
        <v>93</v>
      </c>
      <c r="D25" s="7" t="n">
        <v>-3.8</v>
      </c>
    </row>
    <row r="26" customFormat="false" ht="15" hidden="false" customHeight="false" outlineLevel="0" collapsed="false">
      <c r="A26" s="6" t="s">
        <v>56</v>
      </c>
      <c r="B26" s="7" t="n">
        <v>89.2</v>
      </c>
      <c r="C26" s="15" t="n">
        <f aca="false">B26-B25</f>
        <v>-3.8</v>
      </c>
      <c r="D26" s="7" t="n">
        <v>-3.9</v>
      </c>
    </row>
    <row r="27" customFormat="false" ht="15" hidden="false" customHeight="false" outlineLevel="0" collapsed="false">
      <c r="A27" s="6" t="s">
        <v>25</v>
      </c>
      <c r="B27" s="7" t="n">
        <v>87.5</v>
      </c>
      <c r="C27" s="15" t="n">
        <f aca="false">B27-B26</f>
        <v>-1.7</v>
      </c>
      <c r="D27" s="7" t="n">
        <v>-1.6</v>
      </c>
    </row>
    <row r="28" customFormat="false" ht="15" hidden="false" customHeight="false" outlineLevel="0" collapsed="false">
      <c r="A28" s="6" t="s">
        <v>26</v>
      </c>
      <c r="B28" s="7" t="n">
        <v>84.5</v>
      </c>
      <c r="C28" s="15" t="n">
        <f aca="false">B28-B27</f>
        <v>-3</v>
      </c>
      <c r="D28" s="7" t="n">
        <v>-3</v>
      </c>
    </row>
    <row r="30" customFormat="false" ht="15" hidden="false" customHeight="false" outlineLevel="0" collapsed="false">
      <c r="A30" s="14" t="s">
        <v>57</v>
      </c>
    </row>
    <row r="31" customFormat="false" ht="15" hidden="false" customHeight="false" outlineLevel="0" collapsed="false">
      <c r="A31" s="10" t="s">
        <v>58</v>
      </c>
    </row>
    <row r="32" customFormat="false" ht="15" hidden="false" customHeight="false" outlineLevel="0" collapsed="false">
      <c r="A32" s="4" t="s">
        <v>59</v>
      </c>
      <c r="B32" s="5" t="s">
        <v>25</v>
      </c>
      <c r="C32" s="5" t="s">
        <v>26</v>
      </c>
    </row>
    <row r="33" customFormat="false" ht="15" hidden="false" customHeight="false" outlineLevel="0" collapsed="false">
      <c r="A33" s="6" t="s">
        <v>60</v>
      </c>
      <c r="B33" s="7" t="n">
        <v>8149</v>
      </c>
      <c r="C33" s="7" t="n">
        <v>8905</v>
      </c>
    </row>
    <row r="34" customFormat="false" ht="15" hidden="false" customHeight="false" outlineLevel="0" collapsed="false">
      <c r="A34" s="6" t="s">
        <v>61</v>
      </c>
      <c r="B34" s="7" t="n">
        <v>868</v>
      </c>
      <c r="C34" s="7" t="n">
        <v>803</v>
      </c>
    </row>
    <row r="35" customFormat="false" ht="15" hidden="false" customHeight="false" outlineLevel="0" collapsed="false">
      <c r="A35" s="6" t="s">
        <v>62</v>
      </c>
      <c r="B35" s="7" t="n">
        <v>-8930</v>
      </c>
      <c r="C35" s="7" t="n">
        <v>-9433</v>
      </c>
    </row>
    <row r="36" customFormat="false" ht="15" hidden="false" customHeight="false" outlineLevel="0" collapsed="false">
      <c r="A36" s="11" t="s">
        <v>63</v>
      </c>
      <c r="B36" s="16" t="n">
        <f aca="false">SUM(B33:B35)</f>
        <v>87</v>
      </c>
      <c r="C36" s="16" t="n">
        <f aca="false">SUM(C33:C35)</f>
        <v>275</v>
      </c>
    </row>
    <row r="37" customFormat="false" ht="15" hidden="false" customHeight="false" outlineLevel="0" collapsed="false">
      <c r="A37" s="11" t="s">
        <v>64</v>
      </c>
      <c r="B37" s="7" t="n">
        <v>86</v>
      </c>
      <c r="C37" s="7" t="n">
        <v>275</v>
      </c>
    </row>
    <row r="38" customFormat="false" ht="15" hidden="false" customHeight="false" outlineLevel="0" collapsed="false">
      <c r="A38" s="11" t="s">
        <v>65</v>
      </c>
      <c r="B38" s="13" t="n">
        <f aca="false">B36-B37</f>
        <v>1</v>
      </c>
      <c r="C38" s="13" t="n">
        <f aca="false">C36-C37</f>
        <v>0</v>
      </c>
    </row>
    <row r="40" customFormat="false" ht="15" hidden="false" customHeight="false" outlineLevel="0" collapsed="false">
      <c r="A40" s="14" t="s">
        <v>66</v>
      </c>
    </row>
    <row r="41" customFormat="false" ht="15" hidden="false" customHeight="false" outlineLevel="0" collapsed="false">
      <c r="A41" s="10" t="s">
        <v>67</v>
      </c>
    </row>
    <row r="42" customFormat="false" ht="15" hidden="false" customHeight="false" outlineLevel="0" collapsed="false">
      <c r="A42" s="4" t="s">
        <v>24</v>
      </c>
      <c r="B42" s="5" t="s">
        <v>56</v>
      </c>
      <c r="C42" s="5" t="s">
        <v>68</v>
      </c>
      <c r="D42" s="5" t="s">
        <v>69</v>
      </c>
    </row>
    <row r="43" customFormat="false" ht="15" hidden="false" customHeight="false" outlineLevel="0" collapsed="false">
      <c r="A43" s="6" t="s">
        <v>70</v>
      </c>
      <c r="B43" s="7" t="n">
        <v>1.9</v>
      </c>
      <c r="C43" s="7" t="n">
        <v>2.3</v>
      </c>
      <c r="D43" s="7" t="n">
        <v>2.1</v>
      </c>
    </row>
    <row r="44" customFormat="false" ht="15" hidden="false" customHeight="false" outlineLevel="0" collapsed="false">
      <c r="A44" s="6" t="s">
        <v>71</v>
      </c>
      <c r="B44" s="7" t="n">
        <v>3.7</v>
      </c>
      <c r="C44" s="7" t="n">
        <v>3.1</v>
      </c>
      <c r="D44" s="7" t="n">
        <v>2.1</v>
      </c>
    </row>
    <row r="45" customFormat="false" ht="15" hidden="false" customHeight="false" outlineLevel="0" collapsed="false">
      <c r="A45" s="6" t="s">
        <v>72</v>
      </c>
      <c r="B45" s="7" t="n">
        <v>2.1</v>
      </c>
      <c r="C45" s="7" t="n">
        <v>1.7</v>
      </c>
      <c r="D45" s="7" t="n">
        <v>1.2</v>
      </c>
    </row>
    <row r="46" customFormat="false" ht="15" hidden="false" customHeight="false" outlineLevel="0" collapsed="false">
      <c r="A46" s="6" t="s">
        <v>73</v>
      </c>
      <c r="B46" s="7" t="n">
        <v>4.3</v>
      </c>
      <c r="C46" s="7" t="n">
        <v>5.7</v>
      </c>
      <c r="D46" s="7" t="n">
        <v>2</v>
      </c>
    </row>
    <row r="47" customFormat="false" ht="15" hidden="false" customHeight="false" outlineLevel="0" collapsed="false">
      <c r="A47" s="6" t="s">
        <v>74</v>
      </c>
      <c r="B47" s="7" t="n">
        <v>0</v>
      </c>
      <c r="C47" s="7" t="n">
        <v>3.5</v>
      </c>
      <c r="D47" s="7" t="n">
        <v>3.1</v>
      </c>
    </row>
    <row r="48" customFormat="false" ht="15" hidden="false" customHeight="false" outlineLevel="0" collapsed="false">
      <c r="A48" s="6" t="s">
        <v>75</v>
      </c>
      <c r="B48" s="7" t="n">
        <v>4.6</v>
      </c>
      <c r="C48" s="7" t="n">
        <v>6</v>
      </c>
      <c r="D48" s="7" t="n">
        <v>2.8</v>
      </c>
    </row>
    <row r="49" customFormat="false" ht="15" hidden="false" customHeight="false" outlineLevel="0" collapsed="false">
      <c r="A49" s="6" t="s">
        <v>76</v>
      </c>
      <c r="B49" s="7" t="n">
        <v>2.2</v>
      </c>
      <c r="C49" s="7" t="n">
        <v>2.9</v>
      </c>
      <c r="D49" s="7" t="n">
        <v>2.3</v>
      </c>
    </row>
    <row r="50" customFormat="false" ht="15" hidden="false" customHeight="false" outlineLevel="0" collapsed="false">
      <c r="A50" s="6" t="s">
        <v>77</v>
      </c>
      <c r="B50" s="7" t="n">
        <v>2.3</v>
      </c>
      <c r="C50" s="7" t="n">
        <v>1.7</v>
      </c>
      <c r="D50" s="7" t="n">
        <v>1.4</v>
      </c>
    </row>
    <row r="51" customFormat="false" ht="15" hidden="false" customHeight="false" outlineLevel="0" collapsed="false">
      <c r="A51" s="6" t="s">
        <v>78</v>
      </c>
      <c r="B51" s="7" t="n">
        <v>6</v>
      </c>
      <c r="C51" s="7" t="n">
        <v>5.8</v>
      </c>
      <c r="D51" s="7" t="n">
        <v>5.7</v>
      </c>
    </row>
    <row r="52" customFormat="false" ht="15" hidden="false" customHeight="false" outlineLevel="0" collapsed="false">
      <c r="A52" s="6" t="s">
        <v>79</v>
      </c>
      <c r="B52" s="7" t="n">
        <v>4.8</v>
      </c>
      <c r="C52" s="7" t="n">
        <v>4.7</v>
      </c>
      <c r="D52" s="7" t="n">
        <v>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80</v>
      </c>
    </row>
    <row r="3" customFormat="false" ht="15" hidden="false" customHeight="false" outlineLevel="0" collapsed="false">
      <c r="A3" s="14" t="s">
        <v>81</v>
      </c>
    </row>
    <row r="4" customFormat="false" ht="15" hidden="false" customHeight="false" outlineLevel="0" collapsed="false">
      <c r="A4" s="10" t="s">
        <v>82</v>
      </c>
    </row>
    <row r="5" customFormat="false" ht="15" hidden="false" customHeight="false" outlineLevel="0" collapsed="false">
      <c r="A5" s="4" t="s">
        <v>83</v>
      </c>
      <c r="B5" s="5" t="s">
        <v>25</v>
      </c>
      <c r="C5" s="5" t="s">
        <v>26</v>
      </c>
      <c r="D5" s="5" t="s">
        <v>27</v>
      </c>
      <c r="E5" s="5" t="s">
        <v>84</v>
      </c>
    </row>
    <row r="6" customFormat="false" ht="15" hidden="false" customHeight="false" outlineLevel="0" collapsed="false">
      <c r="A6" s="6" t="s">
        <v>85</v>
      </c>
      <c r="B6" s="7" t="n">
        <v>46746</v>
      </c>
      <c r="C6" s="7" t="n">
        <v>48667</v>
      </c>
      <c r="D6" s="8" t="n">
        <f aca="false">C6/B6-1</f>
        <v>0.0410944251914602</v>
      </c>
      <c r="E6" s="8" t="n">
        <f aca="false">C6/C$12</f>
        <v>0.339483523535813</v>
      </c>
    </row>
    <row r="7" customFormat="false" ht="15" hidden="false" customHeight="false" outlineLevel="0" collapsed="false">
      <c r="A7" s="6" t="s">
        <v>86</v>
      </c>
      <c r="B7" s="7" t="n">
        <v>41815</v>
      </c>
      <c r="C7" s="7" t="n">
        <v>44636</v>
      </c>
      <c r="D7" s="8" t="n">
        <f aca="false">C7/B7-1</f>
        <v>0.0674638287695804</v>
      </c>
      <c r="E7" s="8" t="n">
        <f aca="false">C7/C$12</f>
        <v>0.311364714417255</v>
      </c>
    </row>
    <row r="8" customFormat="false" ht="15" hidden="false" customHeight="false" outlineLevel="0" collapsed="false">
      <c r="A8" s="6" t="s">
        <v>87</v>
      </c>
      <c r="B8" s="7" t="n">
        <v>31576</v>
      </c>
      <c r="C8" s="7" t="n">
        <v>32219</v>
      </c>
      <c r="D8" s="8" t="n">
        <f aca="false">C8/B8-1</f>
        <v>0.0203635672662781</v>
      </c>
      <c r="E8" s="8" t="n">
        <f aca="false">C8/C$12</f>
        <v>0.224748179357683</v>
      </c>
    </row>
    <row r="9" customFormat="false" ht="15" hidden="false" customHeight="false" outlineLevel="0" collapsed="false">
      <c r="A9" s="6" t="s">
        <v>88</v>
      </c>
      <c r="B9" s="7" t="n">
        <v>8940</v>
      </c>
      <c r="C9" s="7" t="n">
        <v>9127</v>
      </c>
      <c r="D9" s="8" t="n">
        <f aca="false">C9/B9-1</f>
        <v>0.020917225950783</v>
      </c>
      <c r="E9" s="8" t="n">
        <f aca="false">C9/C$12</f>
        <v>0.0636666759675214</v>
      </c>
    </row>
    <row r="10" customFormat="false" ht="15" hidden="false" customHeight="false" outlineLevel="0" collapsed="false">
      <c r="A10" s="6" t="s">
        <v>89</v>
      </c>
      <c r="B10" s="7" t="n">
        <v>9543</v>
      </c>
      <c r="C10" s="7" t="n">
        <v>6230</v>
      </c>
      <c r="D10" s="8" t="n">
        <f aca="false">C10/B10-1</f>
        <v>-0.347165461594886</v>
      </c>
      <c r="E10" s="8" t="n">
        <f aca="false">C10/C$12</f>
        <v>0.0434582438126064</v>
      </c>
    </row>
    <row r="11" customFormat="false" ht="15" hidden="false" customHeight="false" outlineLevel="0" collapsed="false">
      <c r="A11" s="6" t="s">
        <v>90</v>
      </c>
      <c r="B11" s="7" t="n">
        <v>7939</v>
      </c>
      <c r="C11" s="7" t="n">
        <v>2477</v>
      </c>
      <c r="D11" s="8" t="n">
        <f aca="false">C11/B11-1</f>
        <v>-0.687995969265651</v>
      </c>
      <c r="E11" s="8" t="n">
        <f aca="false">C11/C$12</f>
        <v>0.0172786629091213</v>
      </c>
    </row>
    <row r="12" customFormat="false" ht="15" hidden="false" customHeight="false" outlineLevel="0" collapsed="false">
      <c r="A12" s="11" t="s">
        <v>63</v>
      </c>
      <c r="B12" s="16" t="n">
        <f aca="false">SUM(B6:B11)</f>
        <v>146559</v>
      </c>
      <c r="C12" s="16" t="n">
        <f aca="false">SUM(C6:C11)</f>
        <v>143356</v>
      </c>
    </row>
    <row r="13" customFormat="false" ht="15" hidden="false" customHeight="false" outlineLevel="0" collapsed="false">
      <c r="A13" s="11" t="s">
        <v>64</v>
      </c>
      <c r="B13" s="7" t="n">
        <v>146559</v>
      </c>
      <c r="C13" s="7" t="n">
        <v>143356</v>
      </c>
    </row>
    <row r="14" customFormat="false" ht="15" hidden="false" customHeight="false" outlineLevel="0" collapsed="false">
      <c r="A14" s="11" t="s">
        <v>65</v>
      </c>
      <c r="B14" s="13" t="n">
        <f aca="false">B12-B13</f>
        <v>0</v>
      </c>
      <c r="C14" s="13" t="n">
        <f aca="false">C12-C13</f>
        <v>0</v>
      </c>
    </row>
    <row r="16" customFormat="false" ht="15" hidden="false" customHeight="false" outlineLevel="0" collapsed="false">
      <c r="A16" s="14" t="s">
        <v>91</v>
      </c>
    </row>
    <row r="17" customFormat="false" ht="15" hidden="false" customHeight="false" outlineLevel="0" collapsed="false">
      <c r="A17" s="10" t="s">
        <v>82</v>
      </c>
    </row>
    <row r="18" customFormat="false" ht="15" hidden="false" customHeight="false" outlineLevel="0" collapsed="false">
      <c r="A18" s="4" t="s">
        <v>83</v>
      </c>
      <c r="B18" s="5" t="s">
        <v>25</v>
      </c>
      <c r="C18" s="5" t="s">
        <v>26</v>
      </c>
      <c r="D18" s="5" t="s">
        <v>27</v>
      </c>
      <c r="E18" s="5" t="s">
        <v>84</v>
      </c>
    </row>
    <row r="19" customFormat="false" ht="15" hidden="false" customHeight="false" outlineLevel="0" collapsed="false">
      <c r="A19" s="6" t="s">
        <v>92</v>
      </c>
      <c r="B19" s="7" t="n">
        <v>57801</v>
      </c>
      <c r="C19" s="7" t="n">
        <v>59991</v>
      </c>
      <c r="D19" s="8" t="n">
        <f aca="false">C19/B19-1</f>
        <v>0.0378886178439819</v>
      </c>
      <c r="E19" s="8" t="n">
        <f aca="false">C19/C$27</f>
        <v>0.419279988258399</v>
      </c>
    </row>
    <row r="20" customFormat="false" ht="15" hidden="false" customHeight="false" outlineLevel="0" collapsed="false">
      <c r="A20" s="6" t="s">
        <v>93</v>
      </c>
      <c r="B20" s="7" t="n">
        <v>34171</v>
      </c>
      <c r="C20" s="7" t="n">
        <v>35983</v>
      </c>
      <c r="D20" s="8" t="n">
        <f aca="false">C20/B20-1</f>
        <v>0.0530274209124697</v>
      </c>
      <c r="E20" s="8" t="n">
        <f aca="false">C20/C$27</f>
        <v>0.251486919996366</v>
      </c>
    </row>
    <row r="21" customFormat="false" ht="15" hidden="false" customHeight="false" outlineLevel="0" collapsed="false">
      <c r="A21" s="6" t="s">
        <v>94</v>
      </c>
      <c r="B21" s="7" t="n">
        <v>17440</v>
      </c>
      <c r="C21" s="7" t="n">
        <v>16744</v>
      </c>
      <c r="D21" s="8" t="n">
        <f aca="false">C21/B21-1</f>
        <v>-0.039908256880734</v>
      </c>
      <c r="E21" s="8" t="n">
        <f aca="false">C21/C$27</f>
        <v>0.117024622416673</v>
      </c>
    </row>
    <row r="22" customFormat="false" ht="15" hidden="false" customHeight="false" outlineLevel="0" collapsed="false">
      <c r="A22" s="6" t="s">
        <v>73</v>
      </c>
      <c r="B22" s="7" t="n">
        <v>14035</v>
      </c>
      <c r="C22" s="7" t="n">
        <v>9687</v>
      </c>
      <c r="D22" s="8" t="n">
        <f aca="false">C22/B22-1</f>
        <v>-0.309796936230851</v>
      </c>
      <c r="E22" s="8" t="n">
        <f aca="false">C22/C$27</f>
        <v>0.0677029095407497</v>
      </c>
    </row>
    <row r="23" customFormat="false" ht="15" hidden="false" customHeight="false" outlineLevel="0" collapsed="false">
      <c r="A23" s="6" t="s">
        <v>95</v>
      </c>
      <c r="B23" s="7" t="n">
        <v>10744</v>
      </c>
      <c r="C23" s="7" t="n">
        <v>9564</v>
      </c>
      <c r="D23" s="8" t="n">
        <f aca="false">C23/B23-1</f>
        <v>-0.109828741623232</v>
      </c>
      <c r="E23" s="8" t="n">
        <f aca="false">C23/C$27</f>
        <v>0.0668432566168813</v>
      </c>
    </row>
    <row r="24" customFormat="false" ht="15" hidden="false" customHeight="false" outlineLevel="0" collapsed="false">
      <c r="A24" s="6" t="s">
        <v>36</v>
      </c>
      <c r="B24" s="7" t="n">
        <v>6669</v>
      </c>
      <c r="C24" s="7" t="n">
        <v>8217</v>
      </c>
      <c r="D24" s="8" t="n">
        <f aca="false">C24/B24-1</f>
        <v>0.232118758434548</v>
      </c>
      <c r="E24" s="8" t="n">
        <f aca="false">C24/C$27</f>
        <v>0.0574290087432993</v>
      </c>
    </row>
    <row r="25" customFormat="false" ht="15" hidden="false" customHeight="false" outlineLevel="0" collapsed="false">
      <c r="A25" s="6" t="s">
        <v>96</v>
      </c>
      <c r="B25" s="7" t="n">
        <v>2222</v>
      </c>
      <c r="C25" s="7" t="n">
        <v>1936</v>
      </c>
      <c r="D25" s="8" t="n">
        <f aca="false">C25/B25-1</f>
        <v>-0.128712871287129</v>
      </c>
      <c r="E25" s="8" t="n">
        <f aca="false">C25/C$27</f>
        <v>0.0135307972407238</v>
      </c>
    </row>
    <row r="26" customFormat="false" ht="15" hidden="false" customHeight="false" outlineLevel="0" collapsed="false">
      <c r="A26" s="6" t="s">
        <v>97</v>
      </c>
      <c r="B26" s="7" t="n">
        <v>3390</v>
      </c>
      <c r="C26" s="7" t="n">
        <v>959</v>
      </c>
      <c r="D26" s="8" t="n">
        <f aca="false">C26/B26-1</f>
        <v>-0.717109144542773</v>
      </c>
      <c r="E26" s="8" t="n">
        <f aca="false">C26/C$27</f>
        <v>0.00670249718690812</v>
      </c>
    </row>
    <row r="27" customFormat="false" ht="15" hidden="false" customHeight="false" outlineLevel="0" collapsed="false">
      <c r="A27" s="11" t="s">
        <v>63</v>
      </c>
      <c r="B27" s="16" t="n">
        <f aca="false">SUM(B19:B26)</f>
        <v>146472</v>
      </c>
      <c r="C27" s="16" t="n">
        <f aca="false">SUM(C19:C26)</f>
        <v>143081</v>
      </c>
    </row>
    <row r="28" customFormat="false" ht="15" hidden="false" customHeight="false" outlineLevel="0" collapsed="false">
      <c r="A28" s="11" t="s">
        <v>64</v>
      </c>
      <c r="B28" s="7" t="n">
        <v>146472</v>
      </c>
      <c r="C28" s="7" t="n">
        <v>143081</v>
      </c>
    </row>
    <row r="29" customFormat="false" ht="15" hidden="false" customHeight="false" outlineLevel="0" collapsed="false">
      <c r="A29" s="11" t="s">
        <v>65</v>
      </c>
      <c r="B29" s="13" t="n">
        <f aca="false">B27-B28</f>
        <v>0</v>
      </c>
      <c r="C29" s="13" t="n">
        <f aca="false">C27-C28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98</v>
      </c>
    </row>
    <row r="3" customFormat="false" ht="15" hidden="false" customHeight="false" outlineLevel="0" collapsed="false">
      <c r="A3" s="14" t="s">
        <v>99</v>
      </c>
    </row>
    <row r="4" customFormat="false" ht="15" hidden="false" customHeight="false" outlineLevel="0" collapsed="false">
      <c r="A4" s="10" t="s">
        <v>100</v>
      </c>
    </row>
    <row r="5" customFormat="false" ht="15" hidden="false" customHeight="false" outlineLevel="0" collapsed="false">
      <c r="A5" s="4" t="s">
        <v>83</v>
      </c>
      <c r="B5" s="5" t="s">
        <v>25</v>
      </c>
      <c r="C5" s="5" t="s">
        <v>26</v>
      </c>
      <c r="D5" s="5" t="s">
        <v>27</v>
      </c>
      <c r="E5" s="5" t="s">
        <v>84</v>
      </c>
      <c r="F5" s="5" t="s">
        <v>28</v>
      </c>
    </row>
    <row r="6" customFormat="false" ht="15" hidden="false" customHeight="false" outlineLevel="0" collapsed="false">
      <c r="A6" s="6" t="s">
        <v>101</v>
      </c>
      <c r="B6" s="7" t="n">
        <v>28757</v>
      </c>
      <c r="C6" s="7" t="n">
        <v>30283</v>
      </c>
      <c r="D6" s="8" t="n">
        <f aca="false">C6/B6-1</f>
        <v>0.0530653406127204</v>
      </c>
      <c r="E6" s="8" t="n">
        <f aca="false">C6/C$17</f>
        <v>0.428500679194023</v>
      </c>
      <c r="F6" s="9" t="n">
        <v>0.053</v>
      </c>
    </row>
    <row r="7" customFormat="false" ht="15" hidden="false" customHeight="false" outlineLevel="0" collapsed="false">
      <c r="A7" s="6" t="s">
        <v>102</v>
      </c>
      <c r="B7" s="7" t="n">
        <v>19706</v>
      </c>
      <c r="C7" s="7" t="n">
        <v>20385</v>
      </c>
      <c r="D7" s="8" t="n">
        <f aca="false">C7/B7-1</f>
        <v>0.0344565107073989</v>
      </c>
      <c r="E7" s="8" t="n">
        <f aca="false">C7/C$17</f>
        <v>0.288445211682137</v>
      </c>
      <c r="F7" s="9" t="n">
        <v>0.034</v>
      </c>
    </row>
    <row r="8" customFormat="false" ht="15" hidden="false" customHeight="false" outlineLevel="0" collapsed="false">
      <c r="A8" s="6" t="s">
        <v>103</v>
      </c>
      <c r="B8" s="7" t="n">
        <v>9704</v>
      </c>
      <c r="C8" s="7" t="n">
        <v>9605</v>
      </c>
      <c r="D8" s="8" t="n">
        <f aca="false">C8/B8-1</f>
        <v>-0.0102019785655399</v>
      </c>
      <c r="E8" s="8" t="n">
        <f aca="false">C8/C$17</f>
        <v>0.135909553995925</v>
      </c>
      <c r="F8" s="9" t="n">
        <v>-0.01</v>
      </c>
    </row>
    <row r="9" customFormat="false" ht="15" hidden="false" customHeight="false" outlineLevel="0" collapsed="false">
      <c r="A9" s="6" t="s">
        <v>104</v>
      </c>
      <c r="B9" s="7" t="n">
        <v>3610</v>
      </c>
      <c r="C9" s="7" t="n">
        <v>3796</v>
      </c>
      <c r="D9" s="8" t="n">
        <f aca="false">C9/B9-1</f>
        <v>0.0515235457063712</v>
      </c>
      <c r="E9" s="8" t="n">
        <f aca="false">C9/C$17</f>
        <v>0.0537129273262395</v>
      </c>
      <c r="F9" s="9" t="n">
        <v>0.052</v>
      </c>
    </row>
    <row r="10" customFormat="false" ht="15" hidden="false" customHeight="false" outlineLevel="0" collapsed="false">
      <c r="A10" s="6" t="s">
        <v>105</v>
      </c>
      <c r="B10" s="7" t="n">
        <v>2343</v>
      </c>
      <c r="C10" s="7" t="n">
        <v>2485</v>
      </c>
      <c r="D10" s="8" t="n">
        <f aca="false">C10/B10-1</f>
        <v>0.0606060606060606</v>
      </c>
      <c r="E10" s="8" t="n">
        <f aca="false">C10/C$17</f>
        <v>0.035162440570523</v>
      </c>
      <c r="F10" s="9" t="n">
        <v>0.061</v>
      </c>
    </row>
    <row r="11" customFormat="false" ht="15" hidden="false" customHeight="false" outlineLevel="0" collapsed="false">
      <c r="A11" s="6" t="s">
        <v>106</v>
      </c>
      <c r="B11" s="7" t="n">
        <v>1725</v>
      </c>
      <c r="C11" s="7" t="n">
        <v>1864</v>
      </c>
      <c r="D11" s="8" t="n">
        <f aca="false">C11/B11-1</f>
        <v>0.0805797101449275</v>
      </c>
      <c r="E11" s="8" t="n">
        <f aca="false">C11/C$17</f>
        <v>0.0263753678967625</v>
      </c>
      <c r="F11" s="9" t="n">
        <v>0.081</v>
      </c>
    </row>
    <row r="12" customFormat="false" ht="15" hidden="false" customHeight="false" outlineLevel="0" collapsed="false">
      <c r="A12" s="6" t="s">
        <v>107</v>
      </c>
      <c r="B12" s="7" t="n">
        <v>588</v>
      </c>
      <c r="C12" s="7" t="n">
        <v>611</v>
      </c>
      <c r="D12" s="8" t="n">
        <f aca="false">C12/B12-1</f>
        <v>0.0391156462585034</v>
      </c>
      <c r="E12" s="8" t="n">
        <f aca="false">C12/C$17</f>
        <v>0.00864557391894951</v>
      </c>
      <c r="F12" s="9" t="n">
        <v>0.039</v>
      </c>
    </row>
    <row r="13" customFormat="false" ht="15" hidden="false" customHeight="false" outlineLevel="0" collapsed="false">
      <c r="A13" s="6" t="s">
        <v>108</v>
      </c>
      <c r="B13" s="7" t="n">
        <v>464</v>
      </c>
      <c r="C13" s="7" t="n">
        <v>486</v>
      </c>
      <c r="D13" s="8" t="n">
        <f aca="false">C13/B13-1</f>
        <v>0.0474137931034482</v>
      </c>
      <c r="E13" s="8" t="n">
        <f aca="false">C13/C$17</f>
        <v>0.00687683948381254</v>
      </c>
      <c r="F13" s="9" t="n">
        <v>0.047</v>
      </c>
    </row>
    <row r="14" customFormat="false" ht="15" hidden="false" customHeight="false" outlineLevel="0" collapsed="false">
      <c r="A14" s="6" t="s">
        <v>109</v>
      </c>
      <c r="B14" s="7" t="n">
        <v>263</v>
      </c>
      <c r="C14" s="7" t="n">
        <v>434</v>
      </c>
      <c r="D14" s="8" t="n">
        <f aca="false">C14/B14-1</f>
        <v>0.650190114068441</v>
      </c>
      <c r="E14" s="8" t="n">
        <f aca="false">C14/C$17</f>
        <v>0.00614104595879556</v>
      </c>
      <c r="F14" s="9" t="n">
        <v>0.652</v>
      </c>
    </row>
    <row r="15" customFormat="false" ht="15" hidden="false" customHeight="false" outlineLevel="0" collapsed="false">
      <c r="A15" s="6" t="s">
        <v>110</v>
      </c>
      <c r="B15" s="7" t="n">
        <v>365</v>
      </c>
      <c r="C15" s="7" t="n">
        <v>392</v>
      </c>
      <c r="D15" s="8" t="n">
        <f aca="false">C15/B15-1</f>
        <v>0.0739726027397261</v>
      </c>
      <c r="E15" s="8" t="n">
        <f aca="false">C15/C$17</f>
        <v>0.00554675118858954</v>
      </c>
      <c r="F15" s="9" t="n">
        <v>0.075</v>
      </c>
    </row>
    <row r="16" customFormat="false" ht="15" hidden="false" customHeight="false" outlineLevel="0" collapsed="false">
      <c r="A16" s="6" t="s">
        <v>111</v>
      </c>
      <c r="B16" s="7" t="n">
        <v>284</v>
      </c>
      <c r="C16" s="7" t="n">
        <v>331</v>
      </c>
      <c r="D16" s="8" t="n">
        <f aca="false">C16/B16-1</f>
        <v>0.165492957746479</v>
      </c>
      <c r="E16" s="8" t="n">
        <f aca="false">C16/C$17</f>
        <v>0.0046836087842427</v>
      </c>
      <c r="F16" s="9" t="n">
        <v>0.163</v>
      </c>
    </row>
    <row r="17" customFormat="false" ht="15" hidden="false" customHeight="false" outlineLevel="0" collapsed="false">
      <c r="A17" s="11" t="s">
        <v>63</v>
      </c>
      <c r="B17" s="16" t="n">
        <f aca="false">SUM(B6:B16)</f>
        <v>67809</v>
      </c>
      <c r="C17" s="16" t="n">
        <f aca="false">SUM(C6:C16)</f>
        <v>70672</v>
      </c>
    </row>
    <row r="18" customFormat="false" ht="15" hidden="false" customHeight="false" outlineLevel="0" collapsed="false">
      <c r="A18" s="11" t="s">
        <v>64</v>
      </c>
      <c r="B18" s="7" t="n">
        <v>67808</v>
      </c>
      <c r="C18" s="7" t="n">
        <v>70672</v>
      </c>
      <c r="F18" s="9" t="n">
        <v>0.042</v>
      </c>
    </row>
    <row r="19" customFormat="false" ht="15" hidden="false" customHeight="false" outlineLevel="0" collapsed="false">
      <c r="A19" s="11" t="s">
        <v>65</v>
      </c>
      <c r="B19" s="13" t="n">
        <f aca="false">B17-B18</f>
        <v>1</v>
      </c>
      <c r="C19" s="13" t="n">
        <f aca="false">C17-C18</f>
        <v>0</v>
      </c>
    </row>
    <row r="21" customFormat="false" ht="15" hidden="false" customHeight="false" outlineLevel="0" collapsed="false">
      <c r="A21" s="14" t="s">
        <v>112</v>
      </c>
    </row>
    <row r="22" customFormat="false" ht="15" hidden="false" customHeight="false" outlineLevel="0" collapsed="false">
      <c r="A22" s="10" t="s">
        <v>113</v>
      </c>
    </row>
    <row r="23" customFormat="false" ht="15" hidden="false" customHeight="false" outlineLevel="0" collapsed="false">
      <c r="A23" s="4" t="s">
        <v>83</v>
      </c>
      <c r="B23" s="5" t="s">
        <v>25</v>
      </c>
      <c r="C23" s="5" t="s">
        <v>26</v>
      </c>
      <c r="D23" s="5" t="s">
        <v>27</v>
      </c>
      <c r="E23" s="5" t="s">
        <v>84</v>
      </c>
    </row>
    <row r="24" customFormat="false" ht="15" hidden="false" customHeight="false" outlineLevel="0" collapsed="false">
      <c r="A24" s="6" t="s">
        <v>114</v>
      </c>
      <c r="C24" s="7" t="n">
        <v>14155.8</v>
      </c>
      <c r="E24" s="8" t="n">
        <f aca="false">C24/C$33</f>
        <v>0.618949135793832</v>
      </c>
    </row>
    <row r="25" customFormat="false" ht="15" hidden="false" customHeight="false" outlineLevel="0" collapsed="false">
      <c r="A25" s="6" t="s">
        <v>115</v>
      </c>
      <c r="C25" s="7" t="n">
        <v>4090.7</v>
      </c>
      <c r="E25" s="8" t="n">
        <f aca="false">C25/C$33</f>
        <v>0.178862037454035</v>
      </c>
    </row>
    <row r="26" customFormat="false" ht="15" hidden="false" customHeight="false" outlineLevel="0" collapsed="false">
      <c r="A26" s="6" t="s">
        <v>116</v>
      </c>
      <c r="C26" s="7" t="n">
        <v>1688.4</v>
      </c>
      <c r="E26" s="8" t="n">
        <f aca="false">C26/C$33</f>
        <v>0.073823713310043</v>
      </c>
    </row>
    <row r="27" customFormat="false" ht="15" hidden="false" customHeight="false" outlineLevel="0" collapsed="false">
      <c r="A27" s="6" t="s">
        <v>117</v>
      </c>
      <c r="C27" s="7" t="n">
        <v>441.8</v>
      </c>
      <c r="E27" s="8" t="n">
        <f aca="false">C27/C$33</f>
        <v>0.0193172924309269</v>
      </c>
    </row>
    <row r="28" customFormat="false" ht="15" hidden="false" customHeight="false" outlineLevel="0" collapsed="false">
      <c r="A28" s="6" t="s">
        <v>118</v>
      </c>
      <c r="C28" s="7" t="n">
        <v>1912.6</v>
      </c>
      <c r="E28" s="8" t="n">
        <f aca="false">C28/C$33</f>
        <v>0.0836266489438452</v>
      </c>
    </row>
    <row r="29" customFormat="false" ht="15" hidden="false" customHeight="false" outlineLevel="0" collapsed="false">
      <c r="A29" s="6" t="s">
        <v>119</v>
      </c>
      <c r="C29" s="7" t="n">
        <v>0</v>
      </c>
      <c r="E29" s="8" t="n">
        <f aca="false">C29/C$33</f>
        <v>0</v>
      </c>
    </row>
    <row r="30" customFormat="false" ht="15" hidden="false" customHeight="false" outlineLevel="0" collapsed="false">
      <c r="A30" s="6" t="s">
        <v>120</v>
      </c>
      <c r="C30" s="7" t="n">
        <v>16.4</v>
      </c>
      <c r="E30" s="8" t="n">
        <f aca="false">C30/C$33</f>
        <v>0.000717074685077413</v>
      </c>
    </row>
    <row r="31" customFormat="false" ht="15" hidden="false" customHeight="false" outlineLevel="0" collapsed="false">
      <c r="A31" s="6" t="s">
        <v>121</v>
      </c>
      <c r="C31" s="7" t="n">
        <v>489.7</v>
      </c>
      <c r="E31" s="8" t="n">
        <f aca="false">C31/C$33</f>
        <v>0.0214116752001469</v>
      </c>
    </row>
    <row r="32" customFormat="false" ht="15" hidden="false" customHeight="false" outlineLevel="0" collapsed="false">
      <c r="A32" s="6" t="s">
        <v>122</v>
      </c>
      <c r="C32" s="7" t="n">
        <v>75.3</v>
      </c>
      <c r="E32" s="8" t="n">
        <f aca="false">C32/C$33</f>
        <v>0.00329242218209325</v>
      </c>
    </row>
    <row r="33" customFormat="false" ht="15" hidden="false" customHeight="false" outlineLevel="0" collapsed="false">
      <c r="A33" s="11" t="s">
        <v>63</v>
      </c>
      <c r="C33" s="16" t="n">
        <f aca="false">SUM(C24:C32)</f>
        <v>22870.7</v>
      </c>
    </row>
    <row r="34" customFormat="false" ht="15" hidden="false" customHeight="false" outlineLevel="0" collapsed="false">
      <c r="A34" s="11" t="s">
        <v>64</v>
      </c>
      <c r="C34" s="7" t="n">
        <v>22870.8</v>
      </c>
    </row>
    <row r="35" customFormat="false" ht="15" hidden="false" customHeight="false" outlineLevel="0" collapsed="false">
      <c r="A35" s="11" t="s">
        <v>65</v>
      </c>
      <c r="C35" s="13" t="n">
        <f aca="false">C33-C34</f>
        <v>-0.0999999999985448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123</v>
      </c>
    </row>
    <row r="3" customFormat="false" ht="15" hidden="false" customHeight="false" outlineLevel="0" collapsed="false">
      <c r="A3" s="14" t="s">
        <v>124</v>
      </c>
    </row>
    <row r="4" customFormat="false" ht="15" hidden="false" customHeight="false" outlineLevel="0" collapsed="false">
      <c r="A4" s="10" t="s">
        <v>125</v>
      </c>
    </row>
    <row r="5" customFormat="false" ht="15" hidden="false" customHeight="false" outlineLevel="0" collapsed="false">
      <c r="A5" s="4" t="s">
        <v>83</v>
      </c>
      <c r="B5" s="5" t="s">
        <v>25</v>
      </c>
      <c r="C5" s="5" t="s">
        <v>26</v>
      </c>
      <c r="D5" s="5" t="s">
        <v>27</v>
      </c>
      <c r="E5" s="5" t="s">
        <v>84</v>
      </c>
    </row>
    <row r="6" customFormat="false" ht="15" hidden="false" customHeight="false" outlineLevel="0" collapsed="false">
      <c r="A6" s="6" t="s">
        <v>126</v>
      </c>
      <c r="B6" s="7" t="n">
        <v>47604.9</v>
      </c>
      <c r="C6" s="7" t="n">
        <v>45346.8</v>
      </c>
      <c r="D6" s="8" t="n">
        <f aca="false">C6/B6-1</f>
        <v>-0.0474341926986508</v>
      </c>
      <c r="E6" s="8" t="n">
        <f aca="false">C6/C$14</f>
        <v>0.427469316189363</v>
      </c>
    </row>
    <row r="7" customFormat="false" ht="15" hidden="false" customHeight="false" outlineLevel="0" collapsed="false">
      <c r="A7" s="6" t="s">
        <v>93</v>
      </c>
      <c r="B7" s="7" t="n">
        <v>24695.8</v>
      </c>
      <c r="C7" s="7" t="n">
        <v>26056</v>
      </c>
      <c r="D7" s="8" t="n">
        <f aca="false">C7/B7-1</f>
        <v>0.0550781914333611</v>
      </c>
      <c r="E7" s="8" t="n">
        <f aca="false">C7/C$14</f>
        <v>0.245621311815388</v>
      </c>
    </row>
    <row r="8" customFormat="false" ht="15" hidden="false" customHeight="false" outlineLevel="0" collapsed="false">
      <c r="A8" s="6" t="s">
        <v>127</v>
      </c>
      <c r="B8" s="7" t="n">
        <v>15147.7</v>
      </c>
      <c r="C8" s="7" t="n">
        <v>15110.1</v>
      </c>
      <c r="D8" s="8" t="n">
        <f aca="false">C8/B8-1</f>
        <v>-0.0024822250242611</v>
      </c>
      <c r="E8" s="8" t="n">
        <f aca="false">C8/C$14</f>
        <v>0.142437925378481</v>
      </c>
    </row>
    <row r="9" customFormat="false" ht="15" hidden="false" customHeight="false" outlineLevel="0" collapsed="false">
      <c r="A9" s="6" t="s">
        <v>128</v>
      </c>
      <c r="B9" s="7" t="n">
        <v>7021.5</v>
      </c>
      <c r="C9" s="7" t="n">
        <v>8380.4</v>
      </c>
      <c r="D9" s="8" t="n">
        <f aca="false">C9/B9-1</f>
        <v>0.193534145125685</v>
      </c>
      <c r="E9" s="8" t="n">
        <f aca="false">C9/C$14</f>
        <v>0.0789992647197451</v>
      </c>
    </row>
    <row r="10" customFormat="false" ht="15" hidden="false" customHeight="false" outlineLevel="0" collapsed="false">
      <c r="A10" s="6" t="s">
        <v>129</v>
      </c>
      <c r="B10" s="7" t="n">
        <v>7207.9</v>
      </c>
      <c r="C10" s="7" t="n">
        <v>6557.9</v>
      </c>
      <c r="D10" s="8" t="n">
        <f aca="false">C10/B10-1</f>
        <v>-0.0901788315598163</v>
      </c>
      <c r="E10" s="8" t="n">
        <f aca="false">C10/C$14</f>
        <v>0.061819158763975</v>
      </c>
    </row>
    <row r="11" customFormat="false" ht="15" hidden="false" customHeight="false" outlineLevel="0" collapsed="false">
      <c r="A11" s="6" t="s">
        <v>130</v>
      </c>
      <c r="B11" s="7" t="n">
        <v>673.3</v>
      </c>
      <c r="C11" s="7" t="n">
        <v>3636.5</v>
      </c>
      <c r="D11" s="8" t="n">
        <f aca="false">C11/B11-1</f>
        <v>4.40100995098767</v>
      </c>
      <c r="E11" s="8" t="n">
        <f aca="false">C11/C$14</f>
        <v>0.0342800852170962</v>
      </c>
    </row>
    <row r="12" customFormat="false" ht="15" hidden="false" customHeight="false" outlineLevel="0" collapsed="false">
      <c r="A12" s="6" t="s">
        <v>96</v>
      </c>
      <c r="B12" s="7" t="n">
        <v>1486.6</v>
      </c>
      <c r="C12" s="7" t="n">
        <v>991.9</v>
      </c>
      <c r="D12" s="8" t="n">
        <f aca="false">C12/B12-1</f>
        <v>-0.332772770079376</v>
      </c>
      <c r="E12" s="8" t="n">
        <f aca="false">C12/C$14</f>
        <v>0.00935031390810882</v>
      </c>
    </row>
    <row r="13" customFormat="false" ht="15" hidden="false" customHeight="false" outlineLevel="0" collapsed="false">
      <c r="A13" s="6" t="s">
        <v>131</v>
      </c>
      <c r="B13" s="7" t="n">
        <v>82.3</v>
      </c>
      <c r="C13" s="7" t="n">
        <v>2.4</v>
      </c>
      <c r="D13" s="8" t="n">
        <f aca="false">C13/B13-1</f>
        <v>-0.970838396111786</v>
      </c>
      <c r="E13" s="8" t="n">
        <f aca="false">C13/C$14</f>
        <v>2.26240078429894E-005</v>
      </c>
    </row>
    <row r="14" customFormat="false" ht="15" hidden="false" customHeight="false" outlineLevel="0" collapsed="false">
      <c r="A14" s="11" t="s">
        <v>63</v>
      </c>
      <c r="B14" s="16" t="n">
        <f aca="false">SUM(B6:B13)</f>
        <v>103920</v>
      </c>
      <c r="C14" s="16" t="n">
        <f aca="false">SUM(C6:C13)</f>
        <v>106082</v>
      </c>
    </row>
    <row r="15" customFormat="false" ht="15" hidden="false" customHeight="false" outlineLevel="0" collapsed="false">
      <c r="A15" s="11" t="s">
        <v>64</v>
      </c>
      <c r="B15" s="7" t="n">
        <v>103920</v>
      </c>
      <c r="C15" s="7" t="n">
        <v>106081.9</v>
      </c>
    </row>
    <row r="16" customFormat="false" ht="15" hidden="false" customHeight="false" outlineLevel="0" collapsed="false">
      <c r="A16" s="11" t="s">
        <v>65</v>
      </c>
      <c r="B16" s="13" t="n">
        <f aca="false">B14-B15</f>
        <v>0</v>
      </c>
      <c r="C16" s="13" t="n">
        <f aca="false">C14-C15</f>
        <v>0.100000000005821</v>
      </c>
    </row>
    <row r="17" customFormat="false" ht="15" hidden="false" customHeight="false" outlineLevel="0" collapsed="false">
      <c r="A17" s="10" t="s">
        <v>132</v>
      </c>
    </row>
    <row r="19" customFormat="false" ht="15" hidden="false" customHeight="false" outlineLevel="0" collapsed="false">
      <c r="A19" s="14" t="s">
        <v>133</v>
      </c>
    </row>
    <row r="20" customFormat="false" ht="15" hidden="false" customHeight="false" outlineLevel="0" collapsed="false">
      <c r="A20" s="10" t="s">
        <v>134</v>
      </c>
    </row>
    <row r="21" customFormat="false" ht="15" hidden="false" customHeight="false" outlineLevel="0" collapsed="false">
      <c r="A21" s="4" t="s">
        <v>83</v>
      </c>
      <c r="B21" s="5" t="s">
        <v>25</v>
      </c>
      <c r="C21" s="5" t="s">
        <v>26</v>
      </c>
      <c r="D21" s="5" t="s">
        <v>27</v>
      </c>
      <c r="E21" s="5" t="s">
        <v>84</v>
      </c>
    </row>
    <row r="22" customFormat="false" ht="15" hidden="false" customHeight="false" outlineLevel="0" collapsed="false">
      <c r="A22" s="6" t="s">
        <v>135</v>
      </c>
      <c r="B22" s="7" t="n">
        <v>12783.3</v>
      </c>
      <c r="C22" s="7" t="n">
        <v>14051.8</v>
      </c>
      <c r="D22" s="8" t="n">
        <f aca="false">C22/B22-1</f>
        <v>0.09923102798182</v>
      </c>
      <c r="E22" s="8" t="n">
        <f aca="false">C22/C$31</f>
        <v>0.309874808971766</v>
      </c>
    </row>
    <row r="23" customFormat="false" ht="15" hidden="false" customHeight="false" outlineLevel="0" collapsed="false">
      <c r="A23" s="6" t="s">
        <v>136</v>
      </c>
      <c r="B23" s="7" t="n">
        <v>13293</v>
      </c>
      <c r="C23" s="7" t="n">
        <v>13871.9</v>
      </c>
      <c r="D23" s="8" t="n">
        <f aca="false">C23/B23-1</f>
        <v>0.0435492364402317</v>
      </c>
      <c r="E23" s="8" t="n">
        <f aca="false">C23/C$31</f>
        <v>0.305907596363131</v>
      </c>
    </row>
    <row r="24" customFormat="false" ht="15" hidden="false" customHeight="false" outlineLevel="0" collapsed="false">
      <c r="A24" s="6" t="s">
        <v>137</v>
      </c>
      <c r="B24" s="7" t="n">
        <v>3930.7</v>
      </c>
      <c r="C24" s="7" t="n">
        <v>4232.8</v>
      </c>
      <c r="D24" s="8" t="n">
        <f aca="false">C24/B24-1</f>
        <v>0.0768565395476635</v>
      </c>
      <c r="E24" s="8" t="n">
        <f aca="false">C24/C$31</f>
        <v>0.093343065757817</v>
      </c>
    </row>
    <row r="25" customFormat="false" ht="15" hidden="false" customHeight="false" outlineLevel="0" collapsed="false">
      <c r="A25" s="6" t="s">
        <v>138</v>
      </c>
      <c r="B25" s="7" t="n">
        <v>3081.9</v>
      </c>
      <c r="C25" s="7" t="n">
        <v>3181.9</v>
      </c>
      <c r="D25" s="8" t="n">
        <f aca="false">C25/B25-1</f>
        <v>0.0324475161426392</v>
      </c>
      <c r="E25" s="8" t="n">
        <f aca="false">C25/C$31</f>
        <v>0.0701682812641273</v>
      </c>
    </row>
    <row r="26" customFormat="false" ht="15" hidden="false" customHeight="false" outlineLevel="0" collapsed="false">
      <c r="A26" s="6" t="s">
        <v>139</v>
      </c>
      <c r="B26" s="7" t="n">
        <v>1731.3</v>
      </c>
      <c r="C26" s="7" t="n">
        <v>1552.7</v>
      </c>
      <c r="D26" s="8" t="n">
        <f aca="false">C26/B26-1</f>
        <v>-0.103159475538613</v>
      </c>
      <c r="E26" s="8" t="n">
        <f aca="false">C26/C$31</f>
        <v>0.0342406393409002</v>
      </c>
    </row>
    <row r="27" customFormat="false" ht="15" hidden="false" customHeight="false" outlineLevel="0" collapsed="false">
      <c r="A27" s="6" t="s">
        <v>140</v>
      </c>
      <c r="B27" s="7" t="n">
        <v>1455.3</v>
      </c>
      <c r="C27" s="7" t="n">
        <v>1495.6</v>
      </c>
      <c r="D27" s="8" t="n">
        <f aca="false">C27/B27-1</f>
        <v>0.0276918848347421</v>
      </c>
      <c r="E27" s="8" t="n">
        <f aca="false">C27/C$31</f>
        <v>0.0329814517925229</v>
      </c>
    </row>
    <row r="28" customFormat="false" ht="15" hidden="false" customHeight="false" outlineLevel="0" collapsed="false">
      <c r="A28" s="6" t="s">
        <v>141</v>
      </c>
      <c r="B28" s="7" t="n">
        <v>884.1</v>
      </c>
      <c r="C28" s="7" t="n">
        <v>742.8</v>
      </c>
      <c r="D28" s="8" t="n">
        <f aca="false">C28/B28-1</f>
        <v>-0.159823549372243</v>
      </c>
      <c r="E28" s="8" t="n">
        <f aca="false">C28/C$31</f>
        <v>0.0163804642895734</v>
      </c>
    </row>
    <row r="29" customFormat="false" ht="15" hidden="false" customHeight="false" outlineLevel="0" collapsed="false">
      <c r="A29" s="6" t="s">
        <v>142</v>
      </c>
      <c r="B29" s="7" t="n">
        <v>1201</v>
      </c>
      <c r="C29" s="7" t="n">
        <v>466.8</v>
      </c>
      <c r="D29" s="8" t="n">
        <f aca="false">C29/B29-1</f>
        <v>-0.611323896752706</v>
      </c>
      <c r="E29" s="8" t="n">
        <f aca="false">C29/C$31</f>
        <v>0.0102940236003943</v>
      </c>
    </row>
    <row r="30" customFormat="false" ht="15" hidden="false" customHeight="false" outlineLevel="0" collapsed="false">
      <c r="A30" s="6" t="s">
        <v>143</v>
      </c>
      <c r="B30" s="7" t="n">
        <v>9244.1</v>
      </c>
      <c r="C30" s="7" t="n">
        <v>5750.4</v>
      </c>
      <c r="D30" s="8" t="n">
        <f aca="false">C30/B30-1</f>
        <v>-0.377938360684112</v>
      </c>
      <c r="E30" s="8" t="n">
        <f aca="false">C30/C$31</f>
        <v>0.126809668619767</v>
      </c>
    </row>
    <row r="31" customFormat="false" ht="15" hidden="false" customHeight="false" outlineLevel="0" collapsed="false">
      <c r="A31" s="11" t="s">
        <v>63</v>
      </c>
      <c r="B31" s="16" t="n">
        <f aca="false">SUM(B22:B30)</f>
        <v>47604.7</v>
      </c>
      <c r="C31" s="16" t="n">
        <f aca="false">SUM(C22:C30)</f>
        <v>45346.7</v>
      </c>
    </row>
    <row r="32" customFormat="false" ht="15" hidden="false" customHeight="false" outlineLevel="0" collapsed="false">
      <c r="A32" s="11" t="s">
        <v>64</v>
      </c>
      <c r="B32" s="7" t="n">
        <v>47604.9</v>
      </c>
      <c r="C32" s="7" t="n">
        <v>45346.8</v>
      </c>
    </row>
    <row r="33" customFormat="false" ht="15" hidden="false" customHeight="false" outlineLevel="0" collapsed="false">
      <c r="A33" s="11" t="s">
        <v>65</v>
      </c>
      <c r="B33" s="13" t="n">
        <f aca="false">B31-B32</f>
        <v>-0.200000000004366</v>
      </c>
      <c r="C33" s="13" t="n">
        <f aca="false">C31-C32</f>
        <v>-0.100000000005821</v>
      </c>
    </row>
    <row r="35" customFormat="false" ht="15" hidden="false" customHeight="false" outlineLevel="0" collapsed="false">
      <c r="A35" s="14" t="s">
        <v>144</v>
      </c>
    </row>
    <row r="36" customFormat="false" ht="15" hidden="false" customHeight="false" outlineLevel="0" collapsed="false">
      <c r="A36" s="10" t="s">
        <v>145</v>
      </c>
    </row>
    <row r="37" customFormat="false" ht="15" hidden="false" customHeight="false" outlineLevel="0" collapsed="false">
      <c r="A37" s="4" t="s">
        <v>83</v>
      </c>
      <c r="B37" s="5" t="s">
        <v>25</v>
      </c>
      <c r="C37" s="5" t="s">
        <v>26</v>
      </c>
      <c r="D37" s="5" t="s">
        <v>27</v>
      </c>
      <c r="E37" s="5" t="s">
        <v>84</v>
      </c>
    </row>
    <row r="38" customFormat="false" ht="15" hidden="false" customHeight="false" outlineLevel="0" collapsed="false">
      <c r="A38" s="6" t="s">
        <v>146</v>
      </c>
      <c r="C38" s="7" t="n">
        <v>8184.3</v>
      </c>
      <c r="E38" s="8" t="n">
        <f aca="false">C38/C$57</f>
        <v>0.314105442529331</v>
      </c>
    </row>
    <row r="39" customFormat="false" ht="15" hidden="false" customHeight="false" outlineLevel="0" collapsed="false">
      <c r="A39" s="6" t="s">
        <v>147</v>
      </c>
      <c r="C39" s="7" t="n">
        <v>6624.2</v>
      </c>
      <c r="E39" s="8" t="n">
        <f aca="false">C39/C$57</f>
        <v>0.254230327871998</v>
      </c>
    </row>
    <row r="40" customFormat="false" ht="15" hidden="false" customHeight="false" outlineLevel="0" collapsed="false">
      <c r="A40" s="6" t="s">
        <v>148</v>
      </c>
      <c r="C40" s="7" t="n">
        <v>2420.7</v>
      </c>
      <c r="E40" s="8" t="n">
        <f aca="false">C40/C$57</f>
        <v>0.0929041023338284</v>
      </c>
    </row>
    <row r="41" customFormat="false" ht="15" hidden="false" customHeight="false" outlineLevel="0" collapsed="false">
      <c r="A41" s="6" t="s">
        <v>149</v>
      </c>
      <c r="C41" s="7" t="n">
        <v>2160.8</v>
      </c>
      <c r="E41" s="8" t="n">
        <f aca="false">C41/C$57</f>
        <v>0.0829293941103551</v>
      </c>
    </row>
    <row r="42" customFormat="false" ht="15" hidden="false" customHeight="false" outlineLevel="0" collapsed="false">
      <c r="A42" s="6" t="s">
        <v>150</v>
      </c>
      <c r="C42" s="7" t="n">
        <v>1537.2</v>
      </c>
      <c r="E42" s="8" t="n">
        <f aca="false">C42/C$57</f>
        <v>0.0589962350177887</v>
      </c>
    </row>
    <row r="43" customFormat="false" ht="15" hidden="false" customHeight="false" outlineLevel="0" collapsed="false">
      <c r="A43" s="6" t="s">
        <v>151</v>
      </c>
      <c r="C43" s="7" t="n">
        <v>1355.6</v>
      </c>
      <c r="E43" s="8" t="n">
        <f aca="false">C43/C$57</f>
        <v>0.0520266043391324</v>
      </c>
    </row>
    <row r="44" customFormat="false" ht="15" hidden="false" customHeight="false" outlineLevel="0" collapsed="false">
      <c r="A44" s="6" t="s">
        <v>152</v>
      </c>
      <c r="C44" s="7" t="n">
        <v>765.2</v>
      </c>
      <c r="E44" s="8" t="n">
        <f aca="false">C44/C$57</f>
        <v>0.0293676288287873</v>
      </c>
    </row>
    <row r="45" customFormat="false" ht="15" hidden="false" customHeight="false" outlineLevel="0" collapsed="false">
      <c r="A45" s="6" t="s">
        <v>153</v>
      </c>
      <c r="C45" s="7" t="n">
        <v>632.4</v>
      </c>
      <c r="E45" s="8" t="n">
        <f aca="false">C45/C$57</f>
        <v>0.0242708944999021</v>
      </c>
    </row>
    <row r="46" customFormat="false" ht="15" hidden="false" customHeight="false" outlineLevel="0" collapsed="false">
      <c r="A46" s="6" t="s">
        <v>154</v>
      </c>
      <c r="C46" s="7" t="n">
        <v>507.6</v>
      </c>
      <c r="E46" s="8" t="n">
        <f aca="false">C46/C$57</f>
        <v>0.019481192359504</v>
      </c>
    </row>
    <row r="47" customFormat="false" ht="15" hidden="false" customHeight="false" outlineLevel="0" collapsed="false">
      <c r="A47" s="6" t="s">
        <v>155</v>
      </c>
      <c r="C47" s="7" t="n">
        <v>424.4</v>
      </c>
      <c r="E47" s="8" t="n">
        <f aca="false">C47/C$57</f>
        <v>0.0162880575992386</v>
      </c>
    </row>
    <row r="48" customFormat="false" ht="15" hidden="false" customHeight="false" outlineLevel="0" collapsed="false">
      <c r="A48" s="6" t="s">
        <v>156</v>
      </c>
      <c r="C48" s="7" t="n">
        <v>312</v>
      </c>
      <c r="E48" s="8" t="n">
        <f aca="false">C48/C$57</f>
        <v>0.0119742553509954</v>
      </c>
    </row>
    <row r="49" customFormat="false" ht="15" hidden="false" customHeight="false" outlineLevel="0" collapsed="false">
      <c r="A49" s="6" t="s">
        <v>157</v>
      </c>
      <c r="C49" s="7" t="n">
        <v>244.4</v>
      </c>
      <c r="E49" s="8" t="n">
        <f aca="false">C49/C$57</f>
        <v>0.0093798333582797</v>
      </c>
    </row>
    <row r="50" customFormat="false" ht="15" hidden="false" customHeight="false" outlineLevel="0" collapsed="false">
      <c r="A50" s="6" t="s">
        <v>158</v>
      </c>
      <c r="C50" s="7" t="n">
        <v>230.4</v>
      </c>
      <c r="E50" s="8" t="n">
        <f aca="false">C50/C$57</f>
        <v>0.00884252702842734</v>
      </c>
    </row>
    <row r="51" customFormat="false" ht="15" hidden="false" customHeight="false" outlineLevel="0" collapsed="false">
      <c r="A51" s="6" t="s">
        <v>159</v>
      </c>
      <c r="C51" s="7" t="n">
        <v>172.2</v>
      </c>
      <c r="E51" s="8" t="n">
        <f aca="false">C51/C$57</f>
        <v>0.00660886785718398</v>
      </c>
    </row>
    <row r="52" customFormat="false" ht="15" hidden="false" customHeight="false" outlineLevel="0" collapsed="false">
      <c r="A52" s="6" t="s">
        <v>160</v>
      </c>
      <c r="C52" s="7" t="n">
        <v>164.7</v>
      </c>
      <c r="E52" s="8" t="n">
        <f aca="false">C52/C$57</f>
        <v>0.00632102518047736</v>
      </c>
    </row>
    <row r="53" customFormat="false" ht="15" hidden="false" customHeight="false" outlineLevel="0" collapsed="false">
      <c r="A53" s="6" t="s">
        <v>161</v>
      </c>
      <c r="C53" s="7" t="n">
        <v>137.5</v>
      </c>
      <c r="E53" s="8" t="n">
        <f aca="false">C53/C$57</f>
        <v>0.00527711573962135</v>
      </c>
    </row>
    <row r="54" customFormat="false" ht="15" hidden="false" customHeight="false" outlineLevel="0" collapsed="false">
      <c r="A54" s="6" t="s">
        <v>162</v>
      </c>
      <c r="C54" s="7" t="n">
        <v>128.7</v>
      </c>
      <c r="E54" s="8" t="n">
        <f aca="false">C54/C$57</f>
        <v>0.00493938033228559</v>
      </c>
    </row>
    <row r="55" customFormat="false" ht="15" hidden="false" customHeight="false" outlineLevel="0" collapsed="false">
      <c r="A55" s="6" t="s">
        <v>163</v>
      </c>
      <c r="C55" s="7" t="n">
        <v>26.9</v>
      </c>
      <c r="E55" s="8" t="n">
        <f aca="false">C55/C$57</f>
        <v>0.00103239573378774</v>
      </c>
    </row>
    <row r="56" customFormat="false" ht="15" hidden="false" customHeight="false" outlineLevel="0" collapsed="false">
      <c r="A56" s="6" t="s">
        <v>164</v>
      </c>
      <c r="C56" s="7" t="n">
        <v>26.7</v>
      </c>
      <c r="E56" s="8" t="n">
        <f aca="false">C56/C$57</f>
        <v>0.00102471992907556</v>
      </c>
    </row>
    <row r="57" customFormat="false" ht="15" hidden="false" customHeight="false" outlineLevel="0" collapsed="false">
      <c r="A57" s="11" t="s">
        <v>63</v>
      </c>
      <c r="C57" s="16" t="n">
        <f aca="false">SUM(C38:C56)</f>
        <v>26055.9</v>
      </c>
    </row>
    <row r="58" customFormat="false" ht="15" hidden="false" customHeight="false" outlineLevel="0" collapsed="false">
      <c r="A58" s="11" t="s">
        <v>64</v>
      </c>
      <c r="C58" s="7" t="n">
        <v>26056</v>
      </c>
    </row>
    <row r="59" customFormat="false" ht="15" hidden="false" customHeight="false" outlineLevel="0" collapsed="false">
      <c r="A59" s="11" t="s">
        <v>65</v>
      </c>
      <c r="C59" s="13" t="n">
        <f aca="false">C57-C58</f>
        <v>-0.0999999999985448</v>
      </c>
    </row>
    <row r="61" customFormat="false" ht="15" hidden="false" customHeight="false" outlineLevel="0" collapsed="false">
      <c r="A61" s="14" t="s">
        <v>128</v>
      </c>
    </row>
    <row r="62" customFormat="false" ht="15" hidden="false" customHeight="false" outlineLevel="0" collapsed="false">
      <c r="A62" s="10" t="s">
        <v>165</v>
      </c>
    </row>
    <row r="63" customFormat="false" ht="15" hidden="false" customHeight="false" outlineLevel="0" collapsed="false">
      <c r="A63" s="4" t="s">
        <v>83</v>
      </c>
      <c r="B63" s="5" t="s">
        <v>25</v>
      </c>
      <c r="C63" s="5" t="s">
        <v>26</v>
      </c>
      <c r="D63" s="5" t="s">
        <v>27</v>
      </c>
      <c r="E63" s="5" t="s">
        <v>84</v>
      </c>
    </row>
    <row r="64" customFormat="false" ht="15" hidden="false" customHeight="false" outlineLevel="0" collapsed="false">
      <c r="A64" s="6" t="s">
        <v>166</v>
      </c>
      <c r="B64" s="7" t="n">
        <v>6873.9</v>
      </c>
      <c r="C64" s="7" t="n">
        <v>8290.5</v>
      </c>
      <c r="D64" s="8" t="n">
        <f aca="false">C64/B64-1</f>
        <v>0.206083882512111</v>
      </c>
      <c r="E64" s="8" t="n">
        <f aca="false">C64/C$67</f>
        <v>0.989272588420601</v>
      </c>
    </row>
    <row r="65" customFormat="false" ht="15" hidden="false" customHeight="false" outlineLevel="0" collapsed="false">
      <c r="A65" s="6" t="s">
        <v>167</v>
      </c>
      <c r="B65" s="7" t="n">
        <v>72.6</v>
      </c>
      <c r="C65" s="7" t="n">
        <v>52.2</v>
      </c>
      <c r="D65" s="8" t="n">
        <f aca="false">C65/B65-1</f>
        <v>-0.28099173553719</v>
      </c>
      <c r="E65" s="8" t="n">
        <f aca="false">C65/C$67</f>
        <v>0.00622881962674813</v>
      </c>
    </row>
    <row r="66" customFormat="false" ht="15" hidden="false" customHeight="false" outlineLevel="0" collapsed="false">
      <c r="A66" s="6" t="s">
        <v>143</v>
      </c>
      <c r="B66" s="7" t="n">
        <v>75</v>
      </c>
      <c r="C66" s="7" t="n">
        <v>37.7</v>
      </c>
      <c r="D66" s="8" t="n">
        <f aca="false">C66/B66-1</f>
        <v>-0.497333333333333</v>
      </c>
      <c r="E66" s="8" t="n">
        <f aca="false">C66/C$67</f>
        <v>0.00449859195265143</v>
      </c>
    </row>
    <row r="67" customFormat="false" ht="15" hidden="false" customHeight="false" outlineLevel="0" collapsed="false">
      <c r="A67" s="11" t="s">
        <v>63</v>
      </c>
      <c r="B67" s="16" t="n">
        <f aca="false">SUM(B64:B66)</f>
        <v>7021.5</v>
      </c>
      <c r="C67" s="16" t="n">
        <f aca="false">SUM(C64:C66)</f>
        <v>8380.4</v>
      </c>
    </row>
    <row r="68" customFormat="false" ht="15" hidden="false" customHeight="false" outlineLevel="0" collapsed="false">
      <c r="A68" s="11" t="s">
        <v>64</v>
      </c>
      <c r="B68" s="7" t="n">
        <v>7021.5</v>
      </c>
      <c r="C68" s="7" t="n">
        <v>8380.4</v>
      </c>
    </row>
    <row r="69" customFormat="false" ht="15" hidden="false" customHeight="false" outlineLevel="0" collapsed="false">
      <c r="A69" s="11" t="s">
        <v>65</v>
      </c>
      <c r="B69" s="13" t="n">
        <f aca="false">B67-B68</f>
        <v>0</v>
      </c>
      <c r="C69" s="13" t="n">
        <f aca="false">C67-C68</f>
        <v>0</v>
      </c>
    </row>
    <row r="71" customFormat="false" ht="15" hidden="false" customHeight="false" outlineLevel="0" collapsed="false">
      <c r="A71" s="14" t="s">
        <v>168</v>
      </c>
    </row>
    <row r="72" customFormat="false" ht="15" hidden="false" customHeight="false" outlineLevel="0" collapsed="false">
      <c r="A72" s="10" t="s">
        <v>169</v>
      </c>
    </row>
    <row r="73" customFormat="false" ht="23.85" hidden="false" customHeight="false" outlineLevel="0" collapsed="false">
      <c r="A73" s="4" t="s">
        <v>170</v>
      </c>
      <c r="B73" s="5" t="s">
        <v>171</v>
      </c>
      <c r="C73" s="5" t="s">
        <v>172</v>
      </c>
    </row>
    <row r="74" customFormat="false" ht="15" hidden="false" customHeight="false" outlineLevel="0" collapsed="false">
      <c r="A74" s="6" t="s">
        <v>146</v>
      </c>
      <c r="B74" s="9" t="n">
        <v>0.558</v>
      </c>
      <c r="C74" s="15" t="n">
        <f aca="false">B74*C$78</f>
        <v>8431.4358</v>
      </c>
    </row>
    <row r="75" customFormat="false" ht="15" hidden="false" customHeight="false" outlineLevel="0" collapsed="false">
      <c r="A75" s="6" t="s">
        <v>173</v>
      </c>
      <c r="B75" s="9" t="n">
        <v>0.102</v>
      </c>
      <c r="C75" s="15" t="n">
        <f aca="false">B75*C$78</f>
        <v>1541.2302</v>
      </c>
    </row>
    <row r="76" customFormat="false" ht="15" hidden="false" customHeight="false" outlineLevel="0" collapsed="false">
      <c r="A76" s="6" t="s">
        <v>154</v>
      </c>
      <c r="B76" s="9" t="n">
        <v>0.068</v>
      </c>
      <c r="C76" s="15" t="n">
        <f aca="false">B76*C$78</f>
        <v>1027.4868</v>
      </c>
    </row>
    <row r="77" customFormat="false" ht="15" hidden="false" customHeight="false" outlineLevel="0" collapsed="false">
      <c r="A77" s="6" t="s">
        <v>174</v>
      </c>
      <c r="B77" s="8" t="n">
        <f aca="false">1-SUM(B74:B76)</f>
        <v>0.272</v>
      </c>
      <c r="C77" s="15" t="n">
        <f aca="false">B77*C$78</f>
        <v>4109.9472</v>
      </c>
    </row>
    <row r="78" customFormat="false" ht="15" hidden="false" customHeight="false" outlineLevel="0" collapsed="false">
      <c r="A78" s="11" t="s">
        <v>175</v>
      </c>
      <c r="C78" s="7" t="n">
        <v>15110.1</v>
      </c>
    </row>
    <row r="80" customFormat="false" ht="15" hidden="false" customHeight="false" outlineLevel="0" collapsed="false">
      <c r="A80" s="14" t="s">
        <v>176</v>
      </c>
    </row>
    <row r="81" customFormat="false" ht="15" hidden="false" customHeight="false" outlineLevel="0" collapsed="false">
      <c r="A81" s="10" t="s">
        <v>177</v>
      </c>
    </row>
    <row r="82" customFormat="false" ht="23.85" hidden="false" customHeight="false" outlineLevel="0" collapsed="false">
      <c r="A82" s="4" t="s">
        <v>170</v>
      </c>
      <c r="B82" s="5" t="s">
        <v>171</v>
      </c>
      <c r="C82" s="5" t="s">
        <v>172</v>
      </c>
    </row>
    <row r="83" customFormat="false" ht="15" hidden="false" customHeight="false" outlineLevel="0" collapsed="false">
      <c r="A83" s="6" t="s">
        <v>154</v>
      </c>
      <c r="B83" s="9" t="n">
        <v>0.544</v>
      </c>
      <c r="C83" s="15" t="n">
        <f aca="false">B83*C$87</f>
        <v>3567.4976</v>
      </c>
    </row>
    <row r="84" customFormat="false" ht="15" hidden="false" customHeight="false" outlineLevel="0" collapsed="false">
      <c r="A84" s="6" t="s">
        <v>150</v>
      </c>
      <c r="B84" s="9" t="n">
        <v>0.131</v>
      </c>
      <c r="C84" s="15" t="n">
        <f aca="false">B84*C$87</f>
        <v>859.0849</v>
      </c>
    </row>
    <row r="85" customFormat="false" ht="15" hidden="false" customHeight="false" outlineLevel="0" collapsed="false">
      <c r="A85" s="6" t="s">
        <v>146</v>
      </c>
      <c r="B85" s="9" t="n">
        <v>0.103</v>
      </c>
      <c r="C85" s="15" t="n">
        <f aca="false">B85*C$87</f>
        <v>675.4637</v>
      </c>
    </row>
    <row r="86" customFormat="false" ht="15" hidden="false" customHeight="false" outlineLevel="0" collapsed="false">
      <c r="A86" s="6" t="s">
        <v>174</v>
      </c>
      <c r="B86" s="8" t="n">
        <f aca="false">1-SUM(B83:B85)</f>
        <v>0.222</v>
      </c>
      <c r="C86" s="15" t="n">
        <f aca="false">B86*C$87</f>
        <v>1455.8538</v>
      </c>
    </row>
    <row r="87" customFormat="false" ht="15" hidden="false" customHeight="false" outlineLevel="0" collapsed="false">
      <c r="A87" s="11" t="s">
        <v>175</v>
      </c>
      <c r="C87" s="7" t="n">
        <v>6557.9</v>
      </c>
    </row>
    <row r="89" customFormat="false" ht="15" hidden="false" customHeight="false" outlineLevel="0" collapsed="false">
      <c r="A89" s="14" t="s">
        <v>178</v>
      </c>
    </row>
    <row r="90" customFormat="false" ht="15" hidden="false" customHeight="false" outlineLevel="0" collapsed="false">
      <c r="A90" s="10" t="s">
        <v>177</v>
      </c>
    </row>
    <row r="91" customFormat="false" ht="23.85" hidden="false" customHeight="false" outlineLevel="0" collapsed="false">
      <c r="A91" s="4" t="s">
        <v>170</v>
      </c>
      <c r="B91" s="5" t="s">
        <v>171</v>
      </c>
      <c r="C91" s="5" t="s">
        <v>172</v>
      </c>
    </row>
    <row r="92" customFormat="false" ht="15" hidden="false" customHeight="false" outlineLevel="0" collapsed="false">
      <c r="A92" s="6" t="s">
        <v>179</v>
      </c>
      <c r="B92" s="9" t="n">
        <v>0.602</v>
      </c>
      <c r="C92" s="15" t="n">
        <f aca="false">B92*C$94</f>
        <v>597.1238</v>
      </c>
    </row>
    <row r="93" customFormat="false" ht="15" hidden="false" customHeight="false" outlineLevel="0" collapsed="false">
      <c r="A93" s="6" t="s">
        <v>174</v>
      </c>
      <c r="B93" s="8" t="n">
        <f aca="false">1-SUM(B92)</f>
        <v>0.398</v>
      </c>
      <c r="C93" s="15" t="n">
        <f aca="false">B93*C$94</f>
        <v>394.7762</v>
      </c>
    </row>
    <row r="94" customFormat="false" ht="15" hidden="false" customHeight="false" outlineLevel="0" collapsed="false">
      <c r="A94" s="11" t="s">
        <v>175</v>
      </c>
      <c r="C94" s="7" t="n">
        <v>991.9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180</v>
      </c>
    </row>
    <row r="2" customFormat="false" ht="15" hidden="false" customHeight="false" outlineLevel="0" collapsed="false">
      <c r="A2" s="10" t="s">
        <v>181</v>
      </c>
    </row>
    <row r="4" customFormat="false" ht="23.85" hidden="false" customHeight="false" outlineLevel="0" collapsed="false">
      <c r="A4" s="4" t="s">
        <v>182</v>
      </c>
      <c r="B4" s="5" t="s">
        <v>183</v>
      </c>
      <c r="C4" s="5" t="s">
        <v>184</v>
      </c>
      <c r="D4" s="5" t="s">
        <v>27</v>
      </c>
      <c r="E4" s="5" t="s">
        <v>185</v>
      </c>
      <c r="F4" s="5" t="s">
        <v>186</v>
      </c>
      <c r="G4" s="5" t="s">
        <v>187</v>
      </c>
      <c r="H4" s="5" t="s">
        <v>188</v>
      </c>
      <c r="I4" s="5" t="s">
        <v>189</v>
      </c>
      <c r="J4" s="5" t="s">
        <v>190</v>
      </c>
    </row>
    <row r="5" customFormat="false" ht="15" hidden="false" customHeight="false" outlineLevel="0" collapsed="false">
      <c r="A5" s="6" t="s">
        <v>153</v>
      </c>
      <c r="B5" s="7" t="n">
        <v>28046.6</v>
      </c>
      <c r="C5" s="7" t="n">
        <v>30270.4</v>
      </c>
      <c r="D5" s="8" t="n">
        <f aca="false">C5/B5-1</f>
        <v>0.0792894682421399</v>
      </c>
      <c r="E5" s="7" t="n">
        <v>632.4</v>
      </c>
      <c r="F5" s="8" t="n">
        <f aca="false">E5/C5</f>
        <v>0.0208916961784449</v>
      </c>
      <c r="G5" s="7" t="n">
        <v>31023.9</v>
      </c>
      <c r="H5" s="7" t="n">
        <v>0</v>
      </c>
      <c r="I5" s="17" t="s">
        <v>191</v>
      </c>
      <c r="J5" s="18" t="n">
        <v>324</v>
      </c>
    </row>
    <row r="6" customFormat="false" ht="15" hidden="false" customHeight="false" outlineLevel="0" collapsed="false">
      <c r="A6" s="6" t="s">
        <v>146</v>
      </c>
      <c r="B6" s="7" t="n">
        <v>18062.4</v>
      </c>
      <c r="C6" s="7" t="n">
        <v>17803.1</v>
      </c>
      <c r="D6" s="8" t="n">
        <f aca="false">C6/B6-1</f>
        <v>-0.0143557888209763</v>
      </c>
      <c r="E6" s="7" t="n">
        <v>8184.3</v>
      </c>
      <c r="F6" s="8" t="n">
        <f aca="false">E6/C6</f>
        <v>0.459712072616567</v>
      </c>
      <c r="G6" s="7" t="n">
        <v>17858.4</v>
      </c>
      <c r="H6" s="7" t="n">
        <v>0</v>
      </c>
      <c r="I6" s="17" t="s">
        <v>192</v>
      </c>
      <c r="J6" s="18" t="n">
        <v>303</v>
      </c>
    </row>
    <row r="7" customFormat="false" ht="15" hidden="false" customHeight="false" outlineLevel="0" collapsed="false">
      <c r="A7" s="6" t="s">
        <v>152</v>
      </c>
      <c r="B7" s="7" t="n">
        <v>10707</v>
      </c>
      <c r="C7" s="7" t="n">
        <v>8951</v>
      </c>
      <c r="D7" s="8" t="n">
        <f aca="false">C7/B7-1</f>
        <v>-0.164004856635846</v>
      </c>
      <c r="E7" s="7" t="n">
        <v>765.2</v>
      </c>
      <c r="F7" s="8" t="n">
        <f aca="false">E7/C7</f>
        <v>0.0854876550106133</v>
      </c>
      <c r="G7" s="7" t="n">
        <v>50731.8</v>
      </c>
      <c r="H7" s="7" t="n">
        <v>464.5</v>
      </c>
      <c r="I7" s="17" t="s">
        <v>193</v>
      </c>
      <c r="J7" s="18" t="n">
        <v>196</v>
      </c>
    </row>
    <row r="8" customFormat="false" ht="15" hidden="false" customHeight="false" outlineLevel="0" collapsed="false">
      <c r="A8" s="6" t="s">
        <v>194</v>
      </c>
      <c r="B8" s="7" t="n">
        <v>7088.1</v>
      </c>
      <c r="C8" s="7" t="n">
        <v>8511.6</v>
      </c>
      <c r="D8" s="8" t="n">
        <f aca="false">C8/B8-1</f>
        <v>0.200829559402379</v>
      </c>
      <c r="G8" s="7" t="n">
        <v>176500.6</v>
      </c>
      <c r="H8" s="7" t="n">
        <v>0</v>
      </c>
      <c r="I8" s="17" t="s">
        <v>195</v>
      </c>
      <c r="J8" s="18" t="n">
        <v>200</v>
      </c>
    </row>
    <row r="9" customFormat="false" ht="15" hidden="false" customHeight="false" outlineLevel="0" collapsed="false">
      <c r="A9" s="6" t="s">
        <v>147</v>
      </c>
      <c r="B9" s="7" t="n">
        <v>7670.9</v>
      </c>
      <c r="C9" s="7" t="n">
        <v>7787.9</v>
      </c>
      <c r="D9" s="8" t="n">
        <f aca="false">C9/B9-1</f>
        <v>0.0152524475615639</v>
      </c>
      <c r="E9" s="7" t="n">
        <v>6624.2</v>
      </c>
      <c r="F9" s="8" t="n">
        <f aca="false">E9/C9</f>
        <v>0.850575893373053</v>
      </c>
      <c r="G9" s="7" t="n">
        <v>7787.9</v>
      </c>
      <c r="H9" s="7" t="n">
        <v>0</v>
      </c>
      <c r="I9" s="17" t="s">
        <v>196</v>
      </c>
      <c r="J9" s="18" t="n">
        <v>289</v>
      </c>
    </row>
    <row r="10" customFormat="false" ht="15" hidden="false" customHeight="false" outlineLevel="0" collapsed="false">
      <c r="A10" s="6" t="s">
        <v>155</v>
      </c>
      <c r="B10" s="7" t="n">
        <v>7451.3</v>
      </c>
      <c r="C10" s="7" t="n">
        <v>7657.3</v>
      </c>
      <c r="D10" s="8" t="n">
        <f aca="false">C10/B10-1</f>
        <v>0.0276461825453276</v>
      </c>
      <c r="E10" s="7" t="n">
        <v>424.4</v>
      </c>
      <c r="F10" s="8" t="n">
        <f aca="false">E10/C10</f>
        <v>0.0554242356966555</v>
      </c>
      <c r="G10" s="7" t="n">
        <v>7657.3</v>
      </c>
      <c r="H10" s="7" t="n">
        <v>0</v>
      </c>
      <c r="I10" s="17" t="s">
        <v>197</v>
      </c>
      <c r="J10" s="18" t="n">
        <v>157</v>
      </c>
    </row>
    <row r="11" customFormat="false" ht="15" hidden="false" customHeight="false" outlineLevel="0" collapsed="false">
      <c r="A11" s="6" t="s">
        <v>154</v>
      </c>
      <c r="B11" s="7" t="n">
        <v>6068.5</v>
      </c>
      <c r="C11" s="7" t="n">
        <v>5989.1</v>
      </c>
      <c r="D11" s="8" t="n">
        <f aca="false">C11/B11-1</f>
        <v>-0.0130839581445167</v>
      </c>
      <c r="E11" s="7" t="n">
        <v>507.6</v>
      </c>
      <c r="F11" s="8" t="n">
        <f aca="false">E11/C11</f>
        <v>0.0847539697116428</v>
      </c>
      <c r="G11" s="7" t="n">
        <v>8115.8</v>
      </c>
      <c r="H11" s="7" t="n">
        <v>49.8</v>
      </c>
      <c r="I11" s="17" t="s">
        <v>198</v>
      </c>
      <c r="J11" s="18" t="n">
        <v>250</v>
      </c>
    </row>
    <row r="12" customFormat="false" ht="15" hidden="false" customHeight="false" outlineLevel="0" collapsed="false">
      <c r="A12" s="6" t="s">
        <v>150</v>
      </c>
      <c r="B12" s="7" t="n">
        <v>3860.9</v>
      </c>
      <c r="C12" s="7" t="n">
        <v>3793.3</v>
      </c>
      <c r="D12" s="8" t="n">
        <f aca="false">C12/B12-1</f>
        <v>-0.0175088709886295</v>
      </c>
      <c r="E12" s="7" t="n">
        <v>1537.2</v>
      </c>
      <c r="F12" s="8" t="n">
        <f aca="false">E12/C12</f>
        <v>0.405240819339362</v>
      </c>
      <c r="G12" s="7" t="n">
        <v>3798.8</v>
      </c>
      <c r="H12" s="7" t="n">
        <v>0</v>
      </c>
      <c r="I12" s="17" t="s">
        <v>199</v>
      </c>
      <c r="J12" s="18" t="n">
        <v>236</v>
      </c>
    </row>
    <row r="13" customFormat="false" ht="15" hidden="false" customHeight="false" outlineLevel="0" collapsed="false">
      <c r="A13" s="6" t="s">
        <v>149</v>
      </c>
      <c r="B13" s="7" t="n">
        <v>4118.3</v>
      </c>
      <c r="C13" s="7" t="n">
        <v>3779.3</v>
      </c>
      <c r="D13" s="8" t="n">
        <f aca="false">C13/B13-1</f>
        <v>-0.0823155185392031</v>
      </c>
      <c r="E13" s="7" t="n">
        <v>2160.8</v>
      </c>
      <c r="F13" s="8" t="n">
        <f aca="false">E13/C13</f>
        <v>0.571746090545868</v>
      </c>
      <c r="G13" s="7" t="n">
        <v>3855.4</v>
      </c>
      <c r="H13" s="7" t="n">
        <v>32.7</v>
      </c>
      <c r="I13" s="17" t="s">
        <v>200</v>
      </c>
      <c r="J13" s="18" t="n">
        <v>292</v>
      </c>
    </row>
    <row r="14" customFormat="false" ht="15" hidden="false" customHeight="false" outlineLevel="0" collapsed="false">
      <c r="A14" s="6" t="s">
        <v>148</v>
      </c>
      <c r="B14" s="7" t="n">
        <v>2884.6</v>
      </c>
      <c r="C14" s="7" t="n">
        <v>3153.8</v>
      </c>
      <c r="D14" s="8" t="n">
        <f aca="false">C14/B14-1</f>
        <v>0.0933231643902102</v>
      </c>
      <c r="E14" s="7" t="n">
        <v>2420.7</v>
      </c>
      <c r="F14" s="8" t="n">
        <f aca="false">E14/C14</f>
        <v>0.767550256833027</v>
      </c>
      <c r="G14" s="7" t="n">
        <v>3164</v>
      </c>
      <c r="H14" s="7" t="n">
        <v>0</v>
      </c>
      <c r="I14" s="17" t="s">
        <v>201</v>
      </c>
      <c r="J14" s="18" t="n">
        <v>275</v>
      </c>
    </row>
    <row r="15" customFormat="false" ht="15" hidden="false" customHeight="false" outlineLevel="0" collapsed="false">
      <c r="A15" s="6" t="s">
        <v>161</v>
      </c>
      <c r="B15" s="7" t="n">
        <v>2290.4</v>
      </c>
      <c r="C15" s="7" t="n">
        <v>2235.2</v>
      </c>
      <c r="D15" s="8" t="n">
        <f aca="false">C15/B15-1</f>
        <v>-0.0241005937827455</v>
      </c>
      <c r="E15" s="7" t="n">
        <v>137.5</v>
      </c>
      <c r="F15" s="8" t="n">
        <f aca="false">E15/C15</f>
        <v>0.0615157480314961</v>
      </c>
      <c r="G15" s="7" t="n">
        <v>2264.6</v>
      </c>
      <c r="H15" s="7" t="n">
        <v>513.7</v>
      </c>
      <c r="I15" s="17" t="s">
        <v>202</v>
      </c>
      <c r="J15" s="18" t="n">
        <v>333</v>
      </c>
    </row>
    <row r="16" customFormat="false" ht="15" hidden="false" customHeight="false" outlineLevel="0" collapsed="false">
      <c r="A16" s="6" t="s">
        <v>151</v>
      </c>
      <c r="B16" s="7" t="n">
        <v>1947.3</v>
      </c>
      <c r="C16" s="7" t="n">
        <v>2128.2</v>
      </c>
      <c r="D16" s="8" t="n">
        <f aca="false">C16/B16-1</f>
        <v>0.0928978585734093</v>
      </c>
      <c r="E16" s="7" t="n">
        <v>1355.6</v>
      </c>
      <c r="F16" s="8" t="n">
        <f aca="false">E16/C16</f>
        <v>0.63697020956677</v>
      </c>
      <c r="G16" s="7" t="n">
        <v>2128.4</v>
      </c>
      <c r="H16" s="7" t="n">
        <v>0</v>
      </c>
      <c r="I16" s="17" t="s">
        <v>203</v>
      </c>
      <c r="J16" s="18" t="n">
        <v>264</v>
      </c>
    </row>
    <row r="17" customFormat="false" ht="15" hidden="false" customHeight="false" outlineLevel="0" collapsed="false">
      <c r="A17" s="6" t="s">
        <v>158</v>
      </c>
      <c r="B17" s="7" t="n">
        <v>1813</v>
      </c>
      <c r="C17" s="7" t="n">
        <v>1624.3</v>
      </c>
      <c r="D17" s="8" t="n">
        <f aca="false">C17/B17-1</f>
        <v>-0.104081632653061</v>
      </c>
      <c r="E17" s="7" t="n">
        <v>230.4</v>
      </c>
      <c r="F17" s="8" t="n">
        <f aca="false">E17/C17</f>
        <v>0.141845718155513</v>
      </c>
      <c r="G17" s="7" t="n">
        <v>1647.3</v>
      </c>
      <c r="H17" s="7" t="n">
        <v>22.3</v>
      </c>
      <c r="I17" s="17" t="s">
        <v>204</v>
      </c>
      <c r="J17" s="18" t="n">
        <v>357</v>
      </c>
    </row>
    <row r="18" customFormat="false" ht="15" hidden="false" customHeight="false" outlineLevel="0" collapsed="false">
      <c r="A18" s="6" t="s">
        <v>159</v>
      </c>
      <c r="B18" s="7" t="n">
        <v>2312.1</v>
      </c>
      <c r="C18" s="7" t="n">
        <v>1344.3</v>
      </c>
      <c r="D18" s="8" t="n">
        <f aca="false">C18/B18-1</f>
        <v>-0.418580511223563</v>
      </c>
      <c r="E18" s="7" t="n">
        <v>172.2</v>
      </c>
      <c r="F18" s="8" t="n">
        <f aca="false">E18/C18</f>
        <v>0.128096407051997</v>
      </c>
      <c r="G18" s="7" t="n">
        <v>3149.5</v>
      </c>
      <c r="H18" s="7" t="n">
        <v>532.4</v>
      </c>
      <c r="I18" s="17" t="s">
        <v>205</v>
      </c>
      <c r="J18" s="18" t="n">
        <v>212</v>
      </c>
    </row>
    <row r="19" customFormat="false" ht="15" hidden="false" customHeight="false" outlineLevel="0" collapsed="false">
      <c r="A19" s="6" t="s">
        <v>156</v>
      </c>
      <c r="B19" s="7" t="n">
        <v>672</v>
      </c>
      <c r="C19" s="7" t="n">
        <v>786.1</v>
      </c>
      <c r="D19" s="8" t="n">
        <f aca="false">C19/B19-1</f>
        <v>0.169791666666667</v>
      </c>
      <c r="E19" s="7" t="n">
        <v>312</v>
      </c>
      <c r="F19" s="8" t="n">
        <f aca="false">E19/C19</f>
        <v>0.396896069202392</v>
      </c>
      <c r="G19" s="7" t="n">
        <v>794.6</v>
      </c>
      <c r="H19" s="7" t="n">
        <v>0</v>
      </c>
      <c r="I19" s="17" t="s">
        <v>206</v>
      </c>
      <c r="J19" s="18" t="n">
        <v>169</v>
      </c>
    </row>
    <row r="20" customFormat="false" ht="15" hidden="false" customHeight="false" outlineLevel="0" collapsed="false">
      <c r="A20" s="6" t="s">
        <v>162</v>
      </c>
      <c r="B20" s="7" t="n">
        <v>607</v>
      </c>
      <c r="C20" s="7" t="n">
        <v>531.2</v>
      </c>
      <c r="D20" s="8" t="n">
        <f aca="false">C20/B20-1</f>
        <v>-0.124876441515651</v>
      </c>
      <c r="E20" s="7" t="n">
        <v>128.7</v>
      </c>
      <c r="F20" s="8" t="n">
        <f aca="false">E20/C20</f>
        <v>0.242281626506024</v>
      </c>
      <c r="G20" s="7" t="n">
        <v>541.7</v>
      </c>
      <c r="H20" s="7" t="n">
        <v>13</v>
      </c>
      <c r="I20" s="17" t="s">
        <v>207</v>
      </c>
      <c r="J20" s="18" t="n">
        <v>346</v>
      </c>
    </row>
    <row r="21" customFormat="false" ht="15" hidden="false" customHeight="false" outlineLevel="0" collapsed="false">
      <c r="A21" s="6" t="s">
        <v>157</v>
      </c>
      <c r="B21" s="7" t="n">
        <v>487.5</v>
      </c>
      <c r="C21" s="7" t="n">
        <v>512.2</v>
      </c>
      <c r="D21" s="8" t="n">
        <f aca="false">C21/B21-1</f>
        <v>0.0506666666666669</v>
      </c>
      <c r="E21" s="7" t="n">
        <v>244.4</v>
      </c>
      <c r="F21" s="8" t="n">
        <f aca="false">E21/C21</f>
        <v>0.477157360406091</v>
      </c>
      <c r="G21" s="7" t="n">
        <v>512.2</v>
      </c>
      <c r="H21" s="7" t="n">
        <v>0</v>
      </c>
      <c r="I21" s="17" t="s">
        <v>208</v>
      </c>
      <c r="J21" s="18" t="n">
        <v>180</v>
      </c>
    </row>
    <row r="22" customFormat="false" ht="15" hidden="false" customHeight="false" outlineLevel="0" collapsed="false">
      <c r="A22" s="6" t="s">
        <v>160</v>
      </c>
      <c r="B22" s="7" t="n">
        <v>1194.5</v>
      </c>
      <c r="C22" s="7" t="n">
        <v>426.8</v>
      </c>
      <c r="D22" s="8" t="n">
        <f aca="false">C22/B22-1</f>
        <v>-0.642695688572625</v>
      </c>
      <c r="E22" s="7" t="n">
        <v>164.7</v>
      </c>
      <c r="F22" s="8" t="n">
        <f aca="false">E22/C22</f>
        <v>0.385895032802249</v>
      </c>
      <c r="G22" s="7" t="n">
        <v>725.4</v>
      </c>
      <c r="H22" s="7" t="n">
        <v>38.7</v>
      </c>
      <c r="I22" s="17" t="s">
        <v>209</v>
      </c>
      <c r="J22" s="18" t="n">
        <v>214</v>
      </c>
    </row>
    <row r="23" customFormat="false" ht="15" hidden="false" customHeight="false" outlineLevel="0" collapsed="false">
      <c r="A23" s="6" t="s">
        <v>163</v>
      </c>
      <c r="B23" s="7" t="n">
        <v>156.2</v>
      </c>
      <c r="C23" s="7" t="n">
        <v>173</v>
      </c>
      <c r="D23" s="8" t="n">
        <f aca="false">C23/B23-1</f>
        <v>0.107554417413573</v>
      </c>
      <c r="E23" s="7" t="n">
        <v>26.9</v>
      </c>
      <c r="F23" s="8" t="n">
        <f aca="false">E23/C23</f>
        <v>0.155491329479769</v>
      </c>
      <c r="G23" s="7" t="n">
        <v>173</v>
      </c>
      <c r="H23" s="7" t="n">
        <v>0</v>
      </c>
      <c r="I23" s="17" t="s">
        <v>210</v>
      </c>
      <c r="J23" s="18" t="n">
        <v>348</v>
      </c>
    </row>
    <row r="24" customFormat="false" ht="15" hidden="false" customHeight="false" outlineLevel="0" collapsed="false">
      <c r="A24" s="6" t="s">
        <v>164</v>
      </c>
      <c r="B24" s="7" t="n">
        <v>250.3</v>
      </c>
      <c r="C24" s="7" t="n">
        <v>107.6</v>
      </c>
      <c r="D24" s="8" t="n">
        <f aca="false">C24/B24-1</f>
        <v>-0.57011586096684</v>
      </c>
      <c r="E24" s="7" t="n">
        <v>26.7</v>
      </c>
      <c r="F24" s="8" t="n">
        <f aca="false">E24/C24</f>
        <v>0.24814126394052</v>
      </c>
      <c r="G24" s="7" t="n">
        <v>107.6</v>
      </c>
      <c r="H24" s="7" t="n">
        <v>10.8</v>
      </c>
      <c r="I24" s="17" t="s">
        <v>211</v>
      </c>
      <c r="J24" s="18" t="n">
        <v>224</v>
      </c>
    </row>
    <row r="25" customFormat="false" ht="15" hidden="false" customHeight="false" outlineLevel="0" collapsed="false">
      <c r="A25" s="11" t="s">
        <v>63</v>
      </c>
      <c r="B25" s="16" t="n">
        <f aca="false">SUM(B5:B24)</f>
        <v>107688.9</v>
      </c>
      <c r="C25" s="16" t="n">
        <f aca="false">SUM(C5:C24)</f>
        <v>107565.7</v>
      </c>
      <c r="E25" s="16" t="n">
        <f aca="false">SUM(E5:E24)</f>
        <v>26055.9</v>
      </c>
      <c r="G25" s="16" t="n">
        <f aca="false">SUM(G5:G24)</f>
        <v>322538.2</v>
      </c>
      <c r="H25" s="16" t="n">
        <f aca="false">SUM(H5:H24)</f>
        <v>1677.9</v>
      </c>
    </row>
    <row r="26" customFormat="false" ht="15" hidden="false" customHeight="false" outlineLevel="0" collapsed="false">
      <c r="A26" s="11" t="s">
        <v>64</v>
      </c>
      <c r="E26" s="7" t="n">
        <v>26056</v>
      </c>
      <c r="G26" s="7" t="n">
        <v>322538.2</v>
      </c>
      <c r="H26" s="7" t="n">
        <v>1677.9</v>
      </c>
    </row>
    <row r="27" customFormat="false" ht="15" hidden="false" customHeight="false" outlineLevel="0" collapsed="false">
      <c r="A27" s="11" t="s">
        <v>65</v>
      </c>
      <c r="E27" s="13" t="n">
        <f aca="false">E25-E26</f>
        <v>-0.0999999999985448</v>
      </c>
      <c r="G27" s="13" t="n">
        <f aca="false">G25-G26</f>
        <v>0</v>
      </c>
      <c r="H27" s="13" t="n">
        <f aca="false">H25-H26</f>
        <v>0</v>
      </c>
    </row>
    <row r="29" customFormat="false" ht="15" hidden="false" customHeight="false" outlineLevel="0" collapsed="false">
      <c r="A29" s="10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10" t="s">
        <v>214</v>
      </c>
    </row>
    <row r="4" customFormat="false" ht="15" hidden="false" customHeight="false" outlineLevel="0" collapsed="false">
      <c r="A4" s="4" t="s">
        <v>215</v>
      </c>
      <c r="B4" s="5" t="s">
        <v>216</v>
      </c>
      <c r="C4" s="5" t="s">
        <v>217</v>
      </c>
      <c r="D4" s="5" t="s">
        <v>218</v>
      </c>
      <c r="E4" s="5" t="s">
        <v>219</v>
      </c>
    </row>
    <row r="5" customFormat="false" ht="15" hidden="false" customHeight="false" outlineLevel="0" collapsed="false">
      <c r="A5" s="6" t="s">
        <v>220</v>
      </c>
      <c r="B5" s="7" t="n">
        <v>322538.2</v>
      </c>
    </row>
    <row r="6" customFormat="false" ht="15" hidden="false" customHeight="false" outlineLevel="0" collapsed="false">
      <c r="A6" s="6" t="s">
        <v>221</v>
      </c>
      <c r="B6" s="7" t="n">
        <v>64738.2</v>
      </c>
    </row>
    <row r="7" customFormat="false" ht="15" hidden="false" customHeight="false" outlineLevel="0" collapsed="false">
      <c r="A7" s="11" t="s">
        <v>222</v>
      </c>
      <c r="B7" s="7" t="n">
        <v>257800</v>
      </c>
      <c r="C7" s="12" t="n">
        <f aca="false">B5-B6</f>
        <v>257800</v>
      </c>
      <c r="D7" s="13" t="n">
        <f aca="false">C7-B7</f>
        <v>0</v>
      </c>
    </row>
    <row r="8" customFormat="false" ht="15" hidden="false" customHeight="false" outlineLevel="0" collapsed="false">
      <c r="A8" s="6" t="s">
        <v>223</v>
      </c>
      <c r="B8" s="7" t="n">
        <v>1833.9</v>
      </c>
    </row>
    <row r="9" customFormat="false" ht="15" hidden="false" customHeight="false" outlineLevel="0" collapsed="false">
      <c r="A9" s="11" t="s">
        <v>224</v>
      </c>
      <c r="B9" s="7" t="n">
        <v>259633.9</v>
      </c>
      <c r="C9" s="12" t="n">
        <f aca="false">B7+B8</f>
        <v>259633.9</v>
      </c>
      <c r="D9" s="13" t="n">
        <f aca="false">C9-B9</f>
        <v>0</v>
      </c>
    </row>
    <row r="10" customFormat="false" ht="15" hidden="false" customHeight="false" outlineLevel="0" collapsed="false">
      <c r="A10" s="6" t="s">
        <v>225</v>
      </c>
      <c r="B10" s="7" t="n">
        <v>153554.4</v>
      </c>
    </row>
    <row r="11" customFormat="false" ht="15" hidden="false" customHeight="false" outlineLevel="0" collapsed="false">
      <c r="A11" s="6" t="s">
        <v>226</v>
      </c>
      <c r="B11" s="7" t="n">
        <v>2.4</v>
      </c>
    </row>
    <row r="12" customFormat="false" ht="15" hidden="false" customHeight="false" outlineLevel="0" collapsed="false">
      <c r="A12" s="11" t="s">
        <v>227</v>
      </c>
      <c r="B12" s="7" t="n">
        <v>106081.9</v>
      </c>
      <c r="C12" s="12" t="n">
        <f aca="false">B9-B10+B11</f>
        <v>106081.9</v>
      </c>
      <c r="D12" s="13" t="n">
        <f aca="false">C12-B12</f>
        <v>0</v>
      </c>
    </row>
    <row r="13" customFormat="false" ht="15" hidden="false" customHeight="false" outlineLevel="0" collapsed="false">
      <c r="A13" s="6" t="s">
        <v>228</v>
      </c>
      <c r="B13" s="7" t="n">
        <v>8380.4</v>
      </c>
    </row>
    <row r="14" customFormat="false" ht="15" hidden="false" customHeight="false" outlineLevel="0" collapsed="false">
      <c r="A14" s="11" t="s">
        <v>229</v>
      </c>
      <c r="B14" s="7" t="n">
        <v>97701.5</v>
      </c>
      <c r="C14" s="12" t="n">
        <f aca="false">B12-B13</f>
        <v>97701.5</v>
      </c>
      <c r="D14" s="13" t="n">
        <f aca="false">C14-B14</f>
        <v>0</v>
      </c>
    </row>
    <row r="16" customFormat="false" ht="15" hidden="false" customHeight="false" outlineLevel="0" collapsed="false">
      <c r="A16" s="6" t="s">
        <v>230</v>
      </c>
      <c r="C16" s="19" t="n">
        <f aca="false">B12/'Visão geral'!C11</f>
        <v>0.311511750489665</v>
      </c>
      <c r="E16" s="10" t="s">
        <v>231</v>
      </c>
    </row>
    <row r="17" customFormat="false" ht="15" hidden="false" customHeight="false" outlineLevel="0" collapsed="false">
      <c r="A17" s="6" t="s">
        <v>232</v>
      </c>
      <c r="C17" s="19" t="n">
        <f aca="false">B14/'Visão geral'!C11</f>
        <v>0.286902528051119</v>
      </c>
      <c r="E17" s="10" t="s">
        <v>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234</v>
      </c>
    </row>
    <row r="3" customFormat="false" ht="15" hidden="false" customHeight="false" outlineLevel="0" collapsed="false">
      <c r="A3" s="14" t="s">
        <v>81</v>
      </c>
    </row>
    <row r="4" customFormat="false" ht="15" hidden="false" customHeight="false" outlineLevel="0" collapsed="false">
      <c r="A4" s="10" t="s">
        <v>235</v>
      </c>
    </row>
    <row r="5" customFormat="false" ht="23.85" hidden="false" customHeight="false" outlineLevel="0" collapsed="false">
      <c r="A5" s="4" t="s">
        <v>83</v>
      </c>
      <c r="B5" s="5" t="s">
        <v>236</v>
      </c>
      <c r="C5" s="5" t="s">
        <v>237</v>
      </c>
      <c r="D5" s="5" t="s">
        <v>27</v>
      </c>
      <c r="E5" s="5" t="s">
        <v>238</v>
      </c>
    </row>
    <row r="6" customFormat="false" ht="15" hidden="false" customHeight="false" outlineLevel="0" collapsed="false">
      <c r="A6" s="6" t="s">
        <v>239</v>
      </c>
      <c r="B6" s="7" t="n">
        <v>32361.1</v>
      </c>
      <c r="C6" s="7" t="n">
        <v>34895.9</v>
      </c>
      <c r="D6" s="8" t="n">
        <f aca="false">C6/B6-1</f>
        <v>0.0783286105849308</v>
      </c>
      <c r="E6" s="8" t="n">
        <f aca="false">C6/C$13</f>
        <v>0.656537739363403</v>
      </c>
    </row>
    <row r="7" customFormat="false" ht="15" hidden="false" customHeight="false" outlineLevel="0" collapsed="false">
      <c r="A7" s="6" t="s">
        <v>240</v>
      </c>
      <c r="B7" s="7" t="n">
        <v>10411.1</v>
      </c>
      <c r="C7" s="7" t="n">
        <v>11639.1</v>
      </c>
      <c r="D7" s="8" t="n">
        <f aca="false">C7/B7-1</f>
        <v>0.117951033032052</v>
      </c>
      <c r="E7" s="8" t="n">
        <f aca="false">C7/C$13</f>
        <v>0.218980120937548</v>
      </c>
    </row>
    <row r="8" customFormat="false" ht="15" hidden="false" customHeight="false" outlineLevel="0" collapsed="false">
      <c r="A8" s="6" t="s">
        <v>241</v>
      </c>
      <c r="B8" s="7" t="n">
        <v>1763.3</v>
      </c>
      <c r="C8" s="7" t="n">
        <v>1721.4</v>
      </c>
      <c r="D8" s="8" t="n">
        <f aca="false">C8/B8-1</f>
        <v>-0.0237622639369364</v>
      </c>
      <c r="E8" s="8" t="n">
        <f aca="false">C8/C$13</f>
        <v>0.0323867292300861</v>
      </c>
    </row>
    <row r="9" customFormat="false" ht="15" hidden="false" customHeight="false" outlineLevel="0" collapsed="false">
      <c r="A9" s="6" t="s">
        <v>242</v>
      </c>
      <c r="B9" s="7" t="n">
        <v>1192.8</v>
      </c>
      <c r="C9" s="7" t="n">
        <v>1252.4</v>
      </c>
      <c r="D9" s="8" t="n">
        <f aca="false">C9/B9-1</f>
        <v>0.0499664654594234</v>
      </c>
      <c r="E9" s="8" t="n">
        <f aca="false">C9/C$13</f>
        <v>0.0235628788705472</v>
      </c>
    </row>
    <row r="10" customFormat="false" ht="15" hidden="false" customHeight="false" outlineLevel="0" collapsed="false">
      <c r="A10" s="6" t="s">
        <v>243</v>
      </c>
      <c r="B10" s="7" t="n">
        <v>1046</v>
      </c>
      <c r="C10" s="7" t="n">
        <v>742.2</v>
      </c>
      <c r="D10" s="8" t="n">
        <f aca="false">C10/B10-1</f>
        <v>-0.290439770554493</v>
      </c>
      <c r="E10" s="8" t="n">
        <f aca="false">C10/C$13</f>
        <v>0.0139638843003195</v>
      </c>
    </row>
    <row r="11" customFormat="false" ht="15" hidden="false" customHeight="false" outlineLevel="0" collapsed="false">
      <c r="A11" s="6" t="s">
        <v>244</v>
      </c>
      <c r="B11" s="7" t="n">
        <v>493.6</v>
      </c>
      <c r="C11" s="7" t="n">
        <v>484.7</v>
      </c>
      <c r="D11" s="8" t="n">
        <f aca="false">C11/B11-1</f>
        <v>-0.0180307941653162</v>
      </c>
      <c r="E11" s="8" t="n">
        <f aca="false">C11/C$13</f>
        <v>0.00911923298351502</v>
      </c>
    </row>
    <row r="12" customFormat="false" ht="15" hidden="false" customHeight="false" outlineLevel="0" collapsed="false">
      <c r="A12" s="11" t="s">
        <v>63</v>
      </c>
      <c r="B12" s="16" t="n">
        <f aca="false">SUM(B6:B11)</f>
        <v>47267.9</v>
      </c>
      <c r="C12" s="16" t="n">
        <f aca="false">SUM(C6:C11)</f>
        <v>50735.7</v>
      </c>
    </row>
    <row r="13" customFormat="false" ht="15" hidden="false" customHeight="false" outlineLevel="0" collapsed="false">
      <c r="A13" s="11" t="s">
        <v>245</v>
      </c>
      <c r="B13" s="7" t="n">
        <v>49795.2</v>
      </c>
      <c r="C13" s="7" t="n">
        <v>53151.4</v>
      </c>
    </row>
    <row r="14" customFormat="false" ht="15" hidden="false" customHeight="false" outlineLevel="0" collapsed="false">
      <c r="A14" s="11" t="s">
        <v>246</v>
      </c>
      <c r="B14" s="13" t="n">
        <f aca="false">B13-B12</f>
        <v>2527.3</v>
      </c>
      <c r="C14" s="13" t="n">
        <f aca="false">C13-C12</f>
        <v>2415.7</v>
      </c>
    </row>
    <row r="15" customFormat="false" ht="15" hidden="false" customHeight="false" outlineLevel="0" collapsed="false">
      <c r="A15" s="10" t="s">
        <v>247</v>
      </c>
    </row>
    <row r="17" customFormat="false" ht="15" hidden="false" customHeight="false" outlineLevel="0" collapsed="false">
      <c r="A17" s="14" t="s">
        <v>248</v>
      </c>
    </row>
    <row r="18" customFormat="false" ht="15" hidden="false" customHeight="false" outlineLevel="0" collapsed="false">
      <c r="A18" s="10" t="s">
        <v>235</v>
      </c>
    </row>
    <row r="19" customFormat="false" ht="23.85" hidden="false" customHeight="false" outlineLevel="0" collapsed="false">
      <c r="A19" s="4" t="s">
        <v>83</v>
      </c>
      <c r="B19" s="5" t="s">
        <v>236</v>
      </c>
      <c r="C19" s="5" t="s">
        <v>237</v>
      </c>
      <c r="D19" s="5" t="s">
        <v>27</v>
      </c>
      <c r="E19" s="5"/>
    </row>
    <row r="20" customFormat="false" ht="15" hidden="false" customHeight="false" outlineLevel="0" collapsed="false">
      <c r="A20" s="6" t="s">
        <v>249</v>
      </c>
      <c r="B20" s="7" t="n">
        <v>25436</v>
      </c>
      <c r="C20" s="7" t="n">
        <v>26420.1</v>
      </c>
      <c r="D20" s="8" t="n">
        <f aca="false">C20/B20-1</f>
        <v>0.0386892593175028</v>
      </c>
    </row>
    <row r="21" customFormat="false" ht="15" hidden="false" customHeight="false" outlineLevel="0" collapsed="false">
      <c r="A21" s="6" t="s">
        <v>250</v>
      </c>
      <c r="B21" s="7" t="n">
        <v>3991.7</v>
      </c>
      <c r="C21" s="7" t="n">
        <v>4479.9</v>
      </c>
      <c r="D21" s="8" t="n">
        <f aca="false">C21/B21-1</f>
        <v>0.122303780344214</v>
      </c>
    </row>
    <row r="22" customFormat="false" ht="15" hidden="false" customHeight="false" outlineLevel="0" collapsed="false">
      <c r="A22" s="6" t="s">
        <v>251</v>
      </c>
      <c r="B22" s="7" t="n">
        <v>1587.3</v>
      </c>
      <c r="C22" s="7" t="n">
        <v>1619.1</v>
      </c>
      <c r="D22" s="8" t="n">
        <f aca="false">C22/B22-1</f>
        <v>0.0200340200340201</v>
      </c>
    </row>
    <row r="23" customFormat="false" ht="15" hidden="false" customHeight="false" outlineLevel="0" collapsed="false">
      <c r="A23" s="6" t="s">
        <v>252</v>
      </c>
      <c r="B23" s="7" t="n">
        <v>1102.9</v>
      </c>
      <c r="C23" s="7" t="n">
        <v>1452</v>
      </c>
      <c r="D23" s="8" t="n">
        <f aca="false">C23/B23-1</f>
        <v>0.316529150421616</v>
      </c>
    </row>
    <row r="24" customFormat="false" ht="15" hidden="false" customHeight="false" outlineLevel="0" collapsed="false">
      <c r="A24" s="6" t="s">
        <v>253</v>
      </c>
      <c r="B24" s="7" t="n">
        <v>1376.3</v>
      </c>
      <c r="C24" s="7" t="n">
        <v>1435.8</v>
      </c>
      <c r="D24" s="8" t="n">
        <f aca="false">C24/B24-1</f>
        <v>0.043231853520308</v>
      </c>
    </row>
    <row r="25" customFormat="false" ht="15" hidden="false" customHeight="false" outlineLevel="0" collapsed="false">
      <c r="A25" s="6" t="s">
        <v>254</v>
      </c>
      <c r="B25" s="7" t="n">
        <v>1088</v>
      </c>
      <c r="C25" s="7" t="n">
        <v>1131.9</v>
      </c>
      <c r="D25" s="8" t="n">
        <f aca="false">C25/B25-1</f>
        <v>0.0403492647058825</v>
      </c>
    </row>
    <row r="26" customFormat="false" ht="15" hidden="false" customHeight="false" outlineLevel="0" collapsed="false">
      <c r="A26" s="6" t="s">
        <v>255</v>
      </c>
      <c r="B26" s="7" t="n">
        <v>930.5</v>
      </c>
      <c r="C26" s="7" t="n">
        <v>1023.2</v>
      </c>
      <c r="D26" s="8" t="n">
        <f aca="false">C26/B26-1</f>
        <v>0.0996238581407847</v>
      </c>
    </row>
    <row r="27" customFormat="false" ht="15" hidden="false" customHeight="false" outlineLevel="0" collapsed="false">
      <c r="A27" s="6" t="s">
        <v>256</v>
      </c>
      <c r="B27" s="7" t="n">
        <v>667.1</v>
      </c>
      <c r="C27" s="7" t="n">
        <v>734.3</v>
      </c>
      <c r="D27" s="8" t="n">
        <f aca="false">C27/B27-1</f>
        <v>0.100734522560336</v>
      </c>
    </row>
    <row r="28" customFormat="false" ht="15" hidden="false" customHeight="false" outlineLevel="0" collapsed="false">
      <c r="A28" s="6" t="s">
        <v>257</v>
      </c>
      <c r="B28" s="7" t="n">
        <v>613.7</v>
      </c>
      <c r="C28" s="7" t="n">
        <v>709.7</v>
      </c>
      <c r="D28" s="8" t="n">
        <f aca="false">C28/B28-1</f>
        <v>0.156428222258432</v>
      </c>
    </row>
    <row r="29" customFormat="false" ht="15" hidden="false" customHeight="false" outlineLevel="0" collapsed="false">
      <c r="A29" s="6" t="s">
        <v>258</v>
      </c>
      <c r="B29" s="7" t="n">
        <v>476.5</v>
      </c>
      <c r="C29" s="7" t="n">
        <v>507.8</v>
      </c>
      <c r="D29" s="8" t="n">
        <f aca="false">C29/B29-1</f>
        <v>0.0656873032528857</v>
      </c>
    </row>
    <row r="30" customFormat="false" ht="15" hidden="false" customHeight="false" outlineLevel="0" collapsed="false">
      <c r="A30" s="11" t="s">
        <v>63</v>
      </c>
      <c r="B30" s="16" t="n">
        <f aca="false">SUM(B20:B29)</f>
        <v>37270</v>
      </c>
      <c r="C30" s="16" t="n">
        <f aca="false">SUM(C20:C29)</f>
        <v>39513.8</v>
      </c>
    </row>
    <row r="31" customFormat="false" ht="15" hidden="false" customHeight="false" outlineLevel="0" collapsed="false">
      <c r="A31" s="11" t="s">
        <v>259</v>
      </c>
      <c r="B31" s="7" t="n">
        <v>42032.3</v>
      </c>
      <c r="C31" s="7" t="n">
        <v>44768.7</v>
      </c>
    </row>
    <row r="32" customFormat="false" ht="15" hidden="false" customHeight="false" outlineLevel="0" collapsed="false">
      <c r="A32" s="11" t="s">
        <v>260</v>
      </c>
      <c r="B32" s="13" t="n">
        <f aca="false">B31-B30</f>
        <v>4762.3</v>
      </c>
      <c r="C32" s="13" t="n">
        <f aca="false">C31-C30</f>
        <v>5254.9</v>
      </c>
    </row>
    <row r="34" customFormat="false" ht="15" hidden="false" customHeight="false" outlineLevel="0" collapsed="false">
      <c r="A34" s="11" t="s">
        <v>261</v>
      </c>
      <c r="B34" s="7" t="n">
        <v>7762.9</v>
      </c>
      <c r="C34" s="7" t="n">
        <v>8382.7</v>
      </c>
    </row>
    <row r="35" customFormat="false" ht="15" hidden="false" customHeight="false" outlineLevel="0" collapsed="false">
      <c r="A35" s="6" t="s">
        <v>42</v>
      </c>
      <c r="B35" s="15" t="n">
        <f aca="false">B13-B31</f>
        <v>7762.89999999999</v>
      </c>
      <c r="C35" s="15" t="n">
        <f aca="false">C13-C31</f>
        <v>8382.7</v>
      </c>
    </row>
    <row r="37" customFormat="false" ht="15" hidden="false" customHeight="false" outlineLevel="0" collapsed="false">
      <c r="A37" s="10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58"/>
    <col collapsed="false" customWidth="true" hidden="false" outlineLevel="0" max="4" min="4" style="0" width="18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10" t="s">
        <v>264</v>
      </c>
    </row>
    <row r="4" customFormat="false" ht="15" hidden="false" customHeight="false" outlineLevel="0" collapsed="false">
      <c r="A4" s="4" t="s">
        <v>265</v>
      </c>
      <c r="B4" s="20" t="s">
        <v>266</v>
      </c>
      <c r="C4" s="20" t="s">
        <v>267</v>
      </c>
      <c r="D4" s="5" t="s">
        <v>216</v>
      </c>
      <c r="E4" s="5" t="s">
        <v>268</v>
      </c>
    </row>
    <row r="5" customFormat="false" ht="15" hidden="false" customHeight="false" outlineLevel="0" collapsed="false">
      <c r="A5" s="6" t="s">
        <v>81</v>
      </c>
      <c r="B5" s="6" t="s">
        <v>114</v>
      </c>
      <c r="C5" s="6" t="s">
        <v>269</v>
      </c>
      <c r="D5" s="7" t="n">
        <v>300</v>
      </c>
      <c r="E5" s="15" t="n">
        <f aca="false">IF(A5="Despesa",-D5,D5)</f>
        <v>300</v>
      </c>
    </row>
    <row r="6" customFormat="false" ht="15" hidden="false" customHeight="false" outlineLevel="0" collapsed="false">
      <c r="A6" s="6" t="s">
        <v>81</v>
      </c>
      <c r="B6" s="6" t="s">
        <v>114</v>
      </c>
      <c r="C6" s="6" t="s">
        <v>270</v>
      </c>
      <c r="D6" s="7" t="n">
        <v>-94</v>
      </c>
      <c r="E6" s="15" t="n">
        <f aca="false">IF(A6="Despesa",-D6,D6)</f>
        <v>-94</v>
      </c>
    </row>
    <row r="7" customFormat="false" ht="15" hidden="false" customHeight="false" outlineLevel="0" collapsed="false">
      <c r="A7" s="6" t="s">
        <v>81</v>
      </c>
      <c r="B7" s="6" t="s">
        <v>115</v>
      </c>
      <c r="C7" s="6" t="s">
        <v>271</v>
      </c>
      <c r="D7" s="7" t="n">
        <v>-431</v>
      </c>
      <c r="E7" s="15" t="n">
        <f aca="false">IF(A7="Despesa",-D7,D7)</f>
        <v>-431</v>
      </c>
    </row>
    <row r="8" customFormat="false" ht="15" hidden="false" customHeight="false" outlineLevel="0" collapsed="false">
      <c r="A8" s="6" t="s">
        <v>81</v>
      </c>
      <c r="B8" s="6" t="s">
        <v>115</v>
      </c>
      <c r="C8" s="6" t="s">
        <v>272</v>
      </c>
      <c r="D8" s="7" t="n">
        <v>284</v>
      </c>
      <c r="E8" s="15" t="n">
        <f aca="false">IF(A8="Despesa",-D8,D8)</f>
        <v>284</v>
      </c>
    </row>
    <row r="9" customFormat="false" ht="15" hidden="false" customHeight="false" outlineLevel="0" collapsed="false">
      <c r="A9" s="6" t="s">
        <v>81</v>
      </c>
      <c r="B9" s="6" t="s">
        <v>115</v>
      </c>
      <c r="C9" s="6" t="s">
        <v>273</v>
      </c>
      <c r="D9" s="7" t="n">
        <v>-209</v>
      </c>
      <c r="E9" s="15" t="n">
        <f aca="false">IF(A9="Despesa",-D9,D9)</f>
        <v>-209</v>
      </c>
    </row>
    <row r="10" customFormat="false" ht="15" hidden="false" customHeight="false" outlineLevel="0" collapsed="false">
      <c r="A10" s="6" t="s">
        <v>81</v>
      </c>
      <c r="B10" s="6" t="s">
        <v>115</v>
      </c>
      <c r="C10" s="6" t="s">
        <v>274</v>
      </c>
      <c r="D10" s="7" t="n">
        <v>-121</v>
      </c>
      <c r="E10" s="15" t="n">
        <f aca="false">IF(A10="Despesa",-D10,D10)</f>
        <v>-121</v>
      </c>
    </row>
    <row r="11" customFormat="false" ht="15" hidden="false" customHeight="false" outlineLevel="0" collapsed="false">
      <c r="A11" s="6" t="s">
        <v>81</v>
      </c>
      <c r="B11" s="6" t="s">
        <v>116</v>
      </c>
      <c r="C11" s="6" t="s">
        <v>275</v>
      </c>
      <c r="D11" s="7" t="n">
        <v>-300</v>
      </c>
      <c r="E11" s="15" t="n">
        <f aca="false">IF(A11="Despesa",-D11,D11)</f>
        <v>-300</v>
      </c>
    </row>
    <row r="12" customFormat="false" ht="15" hidden="false" customHeight="false" outlineLevel="0" collapsed="false">
      <c r="A12" s="6" t="s">
        <v>81</v>
      </c>
      <c r="B12" s="6" t="s">
        <v>116</v>
      </c>
      <c r="C12" s="6" t="s">
        <v>276</v>
      </c>
      <c r="D12" s="7" t="n">
        <v>124</v>
      </c>
      <c r="E12" s="15" t="n">
        <f aca="false">IF(A12="Despesa",-D12,D12)</f>
        <v>124</v>
      </c>
    </row>
    <row r="13" customFormat="false" ht="15" hidden="false" customHeight="false" outlineLevel="0" collapsed="false">
      <c r="A13" s="6" t="s">
        <v>81</v>
      </c>
      <c r="B13" s="6" t="s">
        <v>277</v>
      </c>
      <c r="C13" s="6" t="s">
        <v>272</v>
      </c>
      <c r="D13" s="7" t="n">
        <v>363</v>
      </c>
      <c r="E13" s="15" t="n">
        <f aca="false">IF(A13="Despesa",-D13,D13)</f>
        <v>363</v>
      </c>
    </row>
    <row r="14" customFormat="false" ht="15" hidden="false" customHeight="false" outlineLevel="0" collapsed="false">
      <c r="A14" s="6" t="s">
        <v>91</v>
      </c>
      <c r="B14" s="6" t="s">
        <v>278</v>
      </c>
      <c r="C14" s="6" t="s">
        <v>279</v>
      </c>
      <c r="D14" s="7" t="n">
        <v>587</v>
      </c>
      <c r="E14" s="15" t="n">
        <f aca="false">IF(A14="Despesa",-D14,D14)</f>
        <v>-587</v>
      </c>
    </row>
    <row r="15" customFormat="false" ht="15" hidden="false" customHeight="false" outlineLevel="0" collapsed="false">
      <c r="A15" s="6" t="s">
        <v>91</v>
      </c>
      <c r="B15" s="6" t="s">
        <v>278</v>
      </c>
      <c r="C15" s="6" t="s">
        <v>280</v>
      </c>
      <c r="D15" s="7" t="n">
        <v>244</v>
      </c>
      <c r="E15" s="15" t="n">
        <f aca="false">IF(A15="Despesa",-D15,D15)</f>
        <v>-244</v>
      </c>
    </row>
    <row r="16" customFormat="false" ht="15" hidden="false" customHeight="false" outlineLevel="0" collapsed="false">
      <c r="A16" s="6" t="s">
        <v>91</v>
      </c>
      <c r="B16" s="6" t="s">
        <v>278</v>
      </c>
      <c r="C16" s="6" t="s">
        <v>281</v>
      </c>
      <c r="D16" s="7" t="n">
        <v>116</v>
      </c>
      <c r="E16" s="15" t="n">
        <f aca="false">IF(A16="Despesa",-D16,D16)</f>
        <v>-116</v>
      </c>
    </row>
    <row r="17" customFormat="false" ht="15" hidden="false" customHeight="false" outlineLevel="0" collapsed="false">
      <c r="A17" s="6" t="s">
        <v>91</v>
      </c>
      <c r="B17" s="6" t="s">
        <v>282</v>
      </c>
      <c r="C17" s="6" t="s">
        <v>283</v>
      </c>
      <c r="D17" s="7" t="n">
        <v>100</v>
      </c>
      <c r="E17" s="15" t="n">
        <f aca="false">IF(A17="Despesa",-D17,D17)</f>
        <v>-100</v>
      </c>
    </row>
    <row r="19" customFormat="false" ht="15" hidden="false" customHeight="false" outlineLevel="0" collapsed="false">
      <c r="C19" s="11" t="s">
        <v>284</v>
      </c>
      <c r="D19" s="12" t="n">
        <f aca="false">SUMIF(A5:A17,"Receita",D5:D17)</f>
        <v>-84</v>
      </c>
    </row>
    <row r="20" customFormat="false" ht="15" hidden="false" customHeight="false" outlineLevel="0" collapsed="false">
      <c r="C20" s="11" t="s">
        <v>285</v>
      </c>
      <c r="D20" s="12" t="n">
        <f aca="false">SUMIF(A5:A17,"Despesa",D5:D17)</f>
        <v>1047</v>
      </c>
    </row>
    <row r="21" customFormat="false" ht="15" hidden="false" customHeight="false" outlineLevel="0" collapsed="false">
      <c r="C21" s="11" t="s">
        <v>286</v>
      </c>
      <c r="E21" s="12" t="n">
        <f aca="false">SUM(E5:E17)</f>
        <v>-1131</v>
      </c>
    </row>
    <row r="22" customFormat="false" ht="15" hidden="false" customHeight="false" outlineLevel="0" collapsed="false">
      <c r="C22" s="6" t="s">
        <v>287</v>
      </c>
      <c r="D22" s="7" t="n">
        <v>-84</v>
      </c>
    </row>
    <row r="23" customFormat="false" ht="15" hidden="false" customHeight="false" outlineLevel="0" collapsed="false">
      <c r="C23" s="6" t="s">
        <v>288</v>
      </c>
      <c r="D23" s="7" t="n">
        <v>1048</v>
      </c>
    </row>
    <row r="24" customFormat="false" ht="15" hidden="false" customHeight="false" outlineLevel="0" collapsed="false">
      <c r="C24" s="6" t="s">
        <v>289</v>
      </c>
      <c r="E24" s="7" t="n">
        <v>-1132</v>
      </c>
    </row>
    <row r="25" customFormat="false" ht="15" hidden="false" customHeight="false" outlineLevel="0" collapsed="false">
      <c r="C25" s="11" t="s">
        <v>290</v>
      </c>
      <c r="D25" s="13" t="n">
        <f aca="false">D19-D22</f>
        <v>0</v>
      </c>
      <c r="E25" s="13" t="n">
        <f aca="false">E21-E24</f>
        <v>1</v>
      </c>
    </row>
    <row r="26" customFormat="false" ht="15" hidden="false" customHeight="false" outlineLevel="0" collapsed="false">
      <c r="C26" s="11" t="s">
        <v>291</v>
      </c>
      <c r="D26" s="13" t="n">
        <f aca="false">D20-D23</f>
        <v>-1</v>
      </c>
    </row>
    <row r="27" customFormat="false" ht="15" hidden="false" customHeight="false" outlineLevel="0" collapsed="false">
      <c r="C27" s="10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5" min="3" style="0" width="16"/>
    <col collapsed="false" customWidth="true" hidden="false" outlineLevel="0" max="6" min="6" style="0" width="9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1" min="10" style="0" width="18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293</v>
      </c>
    </row>
    <row r="2" customFormat="false" ht="15" hidden="false" customHeight="false" outlineLevel="0" collapsed="false">
      <c r="A2" s="10" t="s">
        <v>294</v>
      </c>
    </row>
    <row r="4" customFormat="false" ht="15" hidden="false" customHeight="false" outlineLevel="0" collapsed="false">
      <c r="A4" s="4" t="s">
        <v>295</v>
      </c>
      <c r="B4" s="20" t="s">
        <v>296</v>
      </c>
      <c r="C4" s="5" t="s">
        <v>297</v>
      </c>
      <c r="D4" s="5" t="s">
        <v>298</v>
      </c>
      <c r="E4" s="5" t="s">
        <v>299</v>
      </c>
      <c r="F4" s="5" t="s">
        <v>300</v>
      </c>
      <c r="G4" s="5" t="s">
        <v>301</v>
      </c>
      <c r="H4" s="5" t="s">
        <v>302</v>
      </c>
      <c r="I4" s="5" t="s">
        <v>303</v>
      </c>
      <c r="J4" s="5" t="s">
        <v>304</v>
      </c>
      <c r="K4" s="5" t="s">
        <v>63</v>
      </c>
      <c r="L4" s="5" t="s">
        <v>218</v>
      </c>
    </row>
    <row r="5" customFormat="false" ht="15" hidden="false" customHeight="false" outlineLevel="0" collapsed="false">
      <c r="A5" s="11" t="s">
        <v>63</v>
      </c>
      <c r="C5" s="21" t="n">
        <f aca="false">SUM(C8:C315)</f>
        <v>2440355752</v>
      </c>
      <c r="D5" s="21" t="n">
        <f aca="false">SUM(D8:D315)</f>
        <v>1025913256</v>
      </c>
      <c r="E5" s="21" t="n">
        <f aca="false">SUM(E8:E315)</f>
        <v>510081515</v>
      </c>
      <c r="G5" s="21" t="n">
        <f aca="false">SUM(G8:G315)</f>
        <v>135270751</v>
      </c>
      <c r="H5" s="21" t="n">
        <f aca="false">SUM(H8:H315)</f>
        <v>326467782</v>
      </c>
      <c r="I5" s="21" t="n">
        <f aca="false">SUM(I8:I315)</f>
        <v>1495566019</v>
      </c>
      <c r="J5" s="21" t="n">
        <f aca="false">SUM(J8:J315)</f>
        <v>5933655075</v>
      </c>
      <c r="K5" s="21" t="n">
        <f aca="false">SUM(K8:K315)</f>
        <v>5933655075</v>
      </c>
    </row>
    <row r="6" customFormat="false" ht="15" hidden="false" customHeight="false" outlineLevel="0" collapsed="false">
      <c r="A6" s="11" t="s">
        <v>305</v>
      </c>
      <c r="C6" s="22" t="n">
        <v>2440355752</v>
      </c>
      <c r="D6" s="22" t="n">
        <v>1025913256</v>
      </c>
      <c r="E6" s="22" t="n">
        <v>510081515</v>
      </c>
      <c r="G6" s="22" t="n">
        <v>135270751</v>
      </c>
      <c r="H6" s="22" t="n">
        <v>326467782</v>
      </c>
      <c r="I6" s="22" t="n">
        <v>1495566019</v>
      </c>
      <c r="J6" s="22" t="n">
        <v>5933655075</v>
      </c>
    </row>
    <row r="7" customFormat="false" ht="15" hidden="false" customHeight="false" outlineLevel="0" collapsed="false">
      <c r="A7" s="11" t="s">
        <v>65</v>
      </c>
      <c r="C7" s="23" t="n">
        <f aca="false">C5-C6</f>
        <v>0</v>
      </c>
      <c r="D7" s="23" t="n">
        <f aca="false">D5-D6</f>
        <v>0</v>
      </c>
      <c r="E7" s="23" t="n">
        <f aca="false">E5-E6</f>
        <v>0</v>
      </c>
      <c r="G7" s="23" t="n">
        <f aca="false">G5-G6</f>
        <v>0</v>
      </c>
      <c r="H7" s="23" t="n">
        <f aca="false">H5-H6</f>
        <v>0</v>
      </c>
      <c r="I7" s="23" t="n">
        <f aca="false">I5-I6</f>
        <v>0</v>
      </c>
      <c r="J7" s="23" t="n">
        <f aca="false">J5-J6</f>
        <v>0</v>
      </c>
    </row>
    <row r="8" customFormat="false" ht="15" hidden="false" customHeight="false" outlineLevel="0" collapsed="false">
      <c r="A8" s="6" t="s">
        <v>306</v>
      </c>
      <c r="B8" s="6" t="s">
        <v>307</v>
      </c>
      <c r="C8" s="22" t="n">
        <v>11260338</v>
      </c>
      <c r="D8" s="22" t="n">
        <v>3969815</v>
      </c>
      <c r="E8" s="22" t="n">
        <v>0</v>
      </c>
      <c r="F8" s="9" t="n">
        <v>0</v>
      </c>
      <c r="G8" s="22" t="n">
        <v>380216</v>
      </c>
      <c r="H8" s="22" t="n">
        <v>1694549</v>
      </c>
      <c r="I8" s="22" t="n">
        <v>7586872</v>
      </c>
      <c r="J8" s="22" t="n">
        <v>24891790</v>
      </c>
      <c r="K8" s="18" t="n">
        <f aca="false">C8+D8+E8+G8+H8+I8</f>
        <v>24891790</v>
      </c>
      <c r="L8" s="23" t="n">
        <f aca="false">K8-J8</f>
        <v>0</v>
      </c>
    </row>
    <row r="9" customFormat="false" ht="15" hidden="false" customHeight="false" outlineLevel="0" collapsed="false">
      <c r="A9" s="6" t="s">
        <v>308</v>
      </c>
      <c r="B9" s="6" t="s">
        <v>307</v>
      </c>
      <c r="C9" s="22" t="n">
        <v>6969447</v>
      </c>
      <c r="D9" s="22" t="n">
        <v>2281351</v>
      </c>
      <c r="E9" s="22" t="n">
        <v>674299</v>
      </c>
      <c r="F9" s="9" t="n">
        <v>0.028</v>
      </c>
      <c r="G9" s="22" t="n">
        <v>240360</v>
      </c>
      <c r="H9" s="22" t="n">
        <v>853311</v>
      </c>
      <c r="I9" s="22" t="n">
        <v>3514094</v>
      </c>
      <c r="J9" s="22" t="n">
        <v>14532862</v>
      </c>
      <c r="K9" s="18" t="n">
        <f aca="false">C9+D9+E9+G9+H9+I9</f>
        <v>14532862</v>
      </c>
      <c r="L9" s="23" t="n">
        <f aca="false">K9-J9</f>
        <v>0</v>
      </c>
    </row>
    <row r="10" customFormat="false" ht="15" hidden="false" customHeight="false" outlineLevel="0" collapsed="false">
      <c r="A10" s="6" t="s">
        <v>309</v>
      </c>
      <c r="B10" s="6" t="s">
        <v>307</v>
      </c>
      <c r="C10" s="22" t="n">
        <v>10109570</v>
      </c>
      <c r="D10" s="22" t="n">
        <v>3153829</v>
      </c>
      <c r="E10" s="22" t="n">
        <v>844992</v>
      </c>
      <c r="F10" s="9" t="n">
        <v>0.03</v>
      </c>
      <c r="G10" s="22" t="n">
        <v>325255</v>
      </c>
      <c r="H10" s="22" t="n">
        <v>883708</v>
      </c>
      <c r="I10" s="22" t="n">
        <v>3213451</v>
      </c>
      <c r="J10" s="22" t="n">
        <v>18530805</v>
      </c>
      <c r="K10" s="18" t="n">
        <f aca="false">C10+D10+E10+G10+H10+I10</f>
        <v>18530805</v>
      </c>
      <c r="L10" s="23" t="n">
        <f aca="false">K10-J10</f>
        <v>0</v>
      </c>
    </row>
    <row r="11" customFormat="false" ht="15" hidden="false" customHeight="false" outlineLevel="0" collapsed="false">
      <c r="A11" s="6" t="s">
        <v>310</v>
      </c>
      <c r="B11" s="6" t="s">
        <v>307</v>
      </c>
      <c r="C11" s="22" t="n">
        <v>10996877</v>
      </c>
      <c r="D11" s="22" t="n">
        <v>3240561</v>
      </c>
      <c r="E11" s="22" t="n">
        <v>756351</v>
      </c>
      <c r="F11" s="9" t="n">
        <v>0.05</v>
      </c>
      <c r="G11" s="22" t="n">
        <v>204717</v>
      </c>
      <c r="H11" s="22" t="n">
        <v>772061</v>
      </c>
      <c r="I11" s="22" t="n">
        <v>4012825</v>
      </c>
      <c r="J11" s="22" t="n">
        <v>19983392</v>
      </c>
      <c r="K11" s="18" t="n">
        <f aca="false">C11+D11+E11+G11+H11+I11</f>
        <v>19983392</v>
      </c>
      <c r="L11" s="23" t="n">
        <f aca="false">K11-J11</f>
        <v>0</v>
      </c>
    </row>
    <row r="12" customFormat="false" ht="15" hidden="false" customHeight="false" outlineLevel="0" collapsed="false">
      <c r="A12" s="6" t="s">
        <v>307</v>
      </c>
      <c r="B12" s="6" t="s">
        <v>307</v>
      </c>
      <c r="C12" s="22" t="n">
        <v>4192547</v>
      </c>
      <c r="D12" s="22" t="n">
        <v>27942</v>
      </c>
      <c r="E12" s="22" t="n">
        <v>7150545</v>
      </c>
      <c r="F12" s="9" t="n">
        <v>0.048</v>
      </c>
      <c r="G12" s="22" t="n">
        <v>1049325</v>
      </c>
      <c r="H12" s="22" t="n">
        <v>3127551</v>
      </c>
      <c r="I12" s="22" t="n">
        <v>11230999</v>
      </c>
      <c r="J12" s="22" t="n">
        <v>26778909</v>
      </c>
      <c r="K12" s="18" t="n">
        <f aca="false">C12+D12+E12+G12+H12+I12</f>
        <v>26778909</v>
      </c>
      <c r="L12" s="23" t="n">
        <f aca="false">K12-J12</f>
        <v>0</v>
      </c>
    </row>
    <row r="13" customFormat="false" ht="15" hidden="false" customHeight="false" outlineLevel="0" collapsed="false">
      <c r="A13" s="6" t="s">
        <v>311</v>
      </c>
      <c r="B13" s="6" t="s">
        <v>307</v>
      </c>
      <c r="C13" s="22" t="n">
        <v>8821665</v>
      </c>
      <c r="D13" s="22" t="n">
        <v>2531117</v>
      </c>
      <c r="E13" s="22" t="n">
        <v>405692</v>
      </c>
      <c r="F13" s="9" t="n">
        <v>0.05</v>
      </c>
      <c r="G13" s="22" t="n">
        <v>148351</v>
      </c>
      <c r="H13" s="22" t="n">
        <v>533914</v>
      </c>
      <c r="I13" s="22" t="n">
        <v>2995117</v>
      </c>
      <c r="J13" s="22" t="n">
        <v>15435856</v>
      </c>
      <c r="K13" s="18" t="n">
        <f aca="false">C13+D13+E13+G13+H13+I13</f>
        <v>15435856</v>
      </c>
      <c r="L13" s="23" t="n">
        <f aca="false">K13-J13</f>
        <v>0</v>
      </c>
    </row>
    <row r="14" customFormat="false" ht="15" hidden="false" customHeight="false" outlineLevel="0" collapsed="false">
      <c r="A14" s="6" t="s">
        <v>312</v>
      </c>
      <c r="B14" s="6" t="s">
        <v>307</v>
      </c>
      <c r="C14" s="22" t="n">
        <v>5132622</v>
      </c>
      <c r="D14" s="22" t="n">
        <v>2846584</v>
      </c>
      <c r="E14" s="22" t="n">
        <v>2003042</v>
      </c>
      <c r="F14" s="9" t="n">
        <v>0.045</v>
      </c>
      <c r="G14" s="22" t="n">
        <v>306069</v>
      </c>
      <c r="H14" s="22" t="n">
        <v>1260156</v>
      </c>
      <c r="I14" s="22" t="n">
        <v>6632333</v>
      </c>
      <c r="J14" s="22" t="n">
        <v>18180806</v>
      </c>
      <c r="K14" s="18" t="n">
        <f aca="false">C14+D14+E14+G14+H14+I14</f>
        <v>18180806</v>
      </c>
      <c r="L14" s="23" t="n">
        <f aca="false">K14-J14</f>
        <v>0</v>
      </c>
    </row>
    <row r="15" customFormat="false" ht="15" hidden="false" customHeight="false" outlineLevel="0" collapsed="false">
      <c r="A15" s="6" t="s">
        <v>313</v>
      </c>
      <c r="B15" s="6" t="s">
        <v>307</v>
      </c>
      <c r="C15" s="22" t="n">
        <v>9439509</v>
      </c>
      <c r="D15" s="22" t="n">
        <v>3027702</v>
      </c>
      <c r="E15" s="22" t="n">
        <v>809436</v>
      </c>
      <c r="F15" s="9" t="n">
        <v>0.03</v>
      </c>
      <c r="G15" s="22" t="n">
        <v>224439</v>
      </c>
      <c r="H15" s="22" t="n">
        <v>1002029</v>
      </c>
      <c r="I15" s="22" t="n">
        <v>3720658</v>
      </c>
      <c r="J15" s="22" t="n">
        <v>18223773</v>
      </c>
      <c r="K15" s="18" t="n">
        <f aca="false">C15+D15+E15+G15+H15+I15</f>
        <v>18223773</v>
      </c>
      <c r="L15" s="23" t="n">
        <f aca="false">K15-J15</f>
        <v>0</v>
      </c>
    </row>
    <row r="16" customFormat="false" ht="15" hidden="false" customHeight="false" outlineLevel="0" collapsed="false">
      <c r="A16" s="6" t="s">
        <v>314</v>
      </c>
      <c r="B16" s="6" t="s">
        <v>307</v>
      </c>
      <c r="C16" s="22" t="n">
        <v>3035644</v>
      </c>
      <c r="D16" s="22" t="n">
        <v>2349846</v>
      </c>
      <c r="E16" s="22" t="n">
        <v>2631269</v>
      </c>
      <c r="F16" s="9" t="n">
        <v>0.045</v>
      </c>
      <c r="G16" s="22" t="n">
        <v>458270</v>
      </c>
      <c r="H16" s="22" t="n">
        <v>1454109</v>
      </c>
      <c r="I16" s="22" t="n">
        <v>4838806</v>
      </c>
      <c r="J16" s="22" t="n">
        <v>14767944</v>
      </c>
      <c r="K16" s="18" t="n">
        <f aca="false">C16+D16+E16+G16+H16+I16</f>
        <v>14767944</v>
      </c>
      <c r="L16" s="23" t="n">
        <f aca="false">K16-J16</f>
        <v>0</v>
      </c>
    </row>
    <row r="17" customFormat="false" ht="15" hidden="false" customHeight="false" outlineLevel="0" collapsed="false">
      <c r="A17" s="6" t="s">
        <v>315</v>
      </c>
      <c r="B17" s="6" t="s">
        <v>307</v>
      </c>
      <c r="C17" s="22" t="n">
        <v>6972427</v>
      </c>
      <c r="D17" s="22" t="n">
        <v>2194828</v>
      </c>
      <c r="E17" s="22" t="n">
        <v>436937</v>
      </c>
      <c r="F17" s="9" t="n">
        <v>0.02</v>
      </c>
      <c r="G17" s="22" t="n">
        <v>316539</v>
      </c>
      <c r="H17" s="22" t="n">
        <v>610411</v>
      </c>
      <c r="I17" s="22" t="n">
        <v>3060918</v>
      </c>
      <c r="J17" s="22" t="n">
        <v>13592060</v>
      </c>
      <c r="K17" s="18" t="n">
        <f aca="false">C17+D17+E17+G17+H17+I17</f>
        <v>13592060</v>
      </c>
      <c r="L17" s="23" t="n">
        <f aca="false">K17-J17</f>
        <v>0</v>
      </c>
    </row>
    <row r="18" customFormat="false" ht="15" hidden="false" customHeight="false" outlineLevel="0" collapsed="false">
      <c r="A18" s="6" t="s">
        <v>316</v>
      </c>
      <c r="B18" s="6" t="s">
        <v>307</v>
      </c>
      <c r="C18" s="22" t="n">
        <v>3612905</v>
      </c>
      <c r="D18" s="22" t="n">
        <v>2235146</v>
      </c>
      <c r="E18" s="22" t="n">
        <v>388994</v>
      </c>
      <c r="F18" s="9" t="n">
        <v>0.04</v>
      </c>
      <c r="G18" s="22" t="n">
        <v>128874</v>
      </c>
      <c r="H18" s="22" t="n">
        <v>415269</v>
      </c>
      <c r="I18" s="22" t="n">
        <v>1835817</v>
      </c>
      <c r="J18" s="22" t="n">
        <v>8617005</v>
      </c>
      <c r="K18" s="18" t="n">
        <f aca="false">C18+D18+E18+G18+H18+I18</f>
        <v>8617005</v>
      </c>
      <c r="L18" s="23" t="n">
        <f aca="false">K18-J18</f>
        <v>0</v>
      </c>
    </row>
    <row r="19" customFormat="false" ht="15" hidden="false" customHeight="false" outlineLevel="0" collapsed="false">
      <c r="A19" s="6" t="s">
        <v>317</v>
      </c>
      <c r="B19" s="6" t="s">
        <v>307</v>
      </c>
      <c r="C19" s="22" t="n">
        <v>16416889</v>
      </c>
      <c r="D19" s="22" t="n">
        <v>5558908</v>
      </c>
      <c r="E19" s="22" t="n">
        <v>3318883</v>
      </c>
      <c r="F19" s="9" t="n">
        <v>0.05</v>
      </c>
      <c r="G19" s="22" t="n">
        <v>468795</v>
      </c>
      <c r="H19" s="22" t="n">
        <v>2037207</v>
      </c>
      <c r="I19" s="22" t="n">
        <v>9955628</v>
      </c>
      <c r="J19" s="22" t="n">
        <v>37756310</v>
      </c>
      <c r="K19" s="18" t="n">
        <f aca="false">C19+D19+E19+G19+H19+I19</f>
        <v>37756310</v>
      </c>
      <c r="L19" s="23" t="n">
        <f aca="false">K19-J19</f>
        <v>0</v>
      </c>
    </row>
    <row r="20" customFormat="false" ht="15" hidden="false" customHeight="false" outlineLevel="0" collapsed="false">
      <c r="A20" s="6" t="s">
        <v>318</v>
      </c>
      <c r="B20" s="6" t="s">
        <v>307</v>
      </c>
      <c r="C20" s="22" t="n">
        <v>7745937</v>
      </c>
      <c r="D20" s="22" t="n">
        <v>2516849</v>
      </c>
      <c r="E20" s="22" t="n">
        <v>0</v>
      </c>
      <c r="F20" s="9" t="n">
        <v>0</v>
      </c>
      <c r="G20" s="22" t="n">
        <v>220164</v>
      </c>
      <c r="H20" s="22" t="n">
        <v>1003626</v>
      </c>
      <c r="I20" s="22" t="n">
        <v>3659229</v>
      </c>
      <c r="J20" s="22" t="n">
        <v>15145805</v>
      </c>
      <c r="K20" s="18" t="n">
        <f aca="false">C20+D20+E20+G20+H20+I20</f>
        <v>15145805</v>
      </c>
      <c r="L20" s="23" t="n">
        <f aca="false">K20-J20</f>
        <v>0</v>
      </c>
    </row>
    <row r="21" customFormat="false" ht="15" hidden="false" customHeight="false" outlineLevel="0" collapsed="false">
      <c r="A21" s="6" t="s">
        <v>319</v>
      </c>
      <c r="B21" s="6" t="s">
        <v>307</v>
      </c>
      <c r="C21" s="22" t="n">
        <v>5304980</v>
      </c>
      <c r="D21" s="22" t="n">
        <v>4490768</v>
      </c>
      <c r="E21" s="22" t="n">
        <v>688796</v>
      </c>
      <c r="F21" s="9" t="n">
        <v>0.01</v>
      </c>
      <c r="G21" s="22" t="n">
        <v>480633</v>
      </c>
      <c r="H21" s="22" t="n">
        <v>1835073</v>
      </c>
      <c r="I21" s="22" t="n">
        <v>7196868</v>
      </c>
      <c r="J21" s="22" t="n">
        <v>19997118</v>
      </c>
      <c r="K21" s="18" t="n">
        <f aca="false">C21+D21+E21+G21+H21+I21</f>
        <v>19997118</v>
      </c>
      <c r="L21" s="23" t="n">
        <f aca="false">K21-J21</f>
        <v>0</v>
      </c>
    </row>
    <row r="22" customFormat="false" ht="15" hidden="false" customHeight="false" outlineLevel="0" collapsed="false">
      <c r="A22" s="6" t="s">
        <v>320</v>
      </c>
      <c r="B22" s="6" t="s">
        <v>307</v>
      </c>
      <c r="C22" s="22" t="n">
        <v>20153508</v>
      </c>
      <c r="D22" s="22" t="n">
        <v>7887001</v>
      </c>
      <c r="E22" s="22" t="n">
        <v>6908202</v>
      </c>
      <c r="F22" s="9" t="n">
        <v>0.05</v>
      </c>
      <c r="G22" s="22" t="n">
        <v>935909</v>
      </c>
      <c r="H22" s="22" t="n">
        <v>4072306</v>
      </c>
      <c r="I22" s="22" t="n">
        <v>16969301</v>
      </c>
      <c r="J22" s="22" t="n">
        <v>56926227</v>
      </c>
      <c r="K22" s="18" t="n">
        <f aca="false">C22+D22+E22+G22+H22+I22</f>
        <v>56926227</v>
      </c>
      <c r="L22" s="23" t="n">
        <f aca="false">K22-J22</f>
        <v>0</v>
      </c>
    </row>
    <row r="23" customFormat="false" ht="15" hidden="false" customHeight="false" outlineLevel="0" collapsed="false">
      <c r="A23" s="6" t="s">
        <v>321</v>
      </c>
      <c r="B23" s="6" t="s">
        <v>307</v>
      </c>
      <c r="C23" s="22" t="n">
        <v>3273622</v>
      </c>
      <c r="D23" s="22" t="n">
        <v>2206700</v>
      </c>
      <c r="E23" s="22" t="n">
        <v>1249468</v>
      </c>
      <c r="F23" s="9" t="n">
        <v>0.045</v>
      </c>
      <c r="G23" s="22" t="n">
        <v>238271</v>
      </c>
      <c r="H23" s="22" t="n">
        <v>1228599</v>
      </c>
      <c r="I23" s="22" t="n">
        <v>5345242</v>
      </c>
      <c r="J23" s="22" t="n">
        <v>13541902</v>
      </c>
      <c r="K23" s="18" t="n">
        <f aca="false">C23+D23+E23+G23+H23+I23</f>
        <v>13541902</v>
      </c>
      <c r="L23" s="23" t="n">
        <f aca="false">K23-J23</f>
        <v>0</v>
      </c>
    </row>
    <row r="24" customFormat="false" ht="15" hidden="false" customHeight="false" outlineLevel="0" collapsed="false">
      <c r="A24" s="6" t="s">
        <v>322</v>
      </c>
      <c r="B24" s="6" t="s">
        <v>307</v>
      </c>
      <c r="C24" s="22" t="n">
        <v>6360101</v>
      </c>
      <c r="D24" s="22" t="n">
        <v>1841499</v>
      </c>
      <c r="E24" s="22" t="n">
        <v>294438</v>
      </c>
      <c r="F24" s="9" t="n">
        <v>0.03</v>
      </c>
      <c r="G24" s="22" t="n">
        <v>134217</v>
      </c>
      <c r="H24" s="22" t="n">
        <v>371703</v>
      </c>
      <c r="I24" s="22" t="n">
        <v>1874111</v>
      </c>
      <c r="J24" s="22" t="n">
        <v>10876069</v>
      </c>
      <c r="K24" s="18" t="n">
        <f aca="false">C24+D24+E24+G24+H24+I24</f>
        <v>10876069</v>
      </c>
      <c r="L24" s="23" t="n">
        <f aca="false">K24-J24</f>
        <v>0</v>
      </c>
    </row>
    <row r="25" customFormat="false" ht="15" hidden="false" customHeight="false" outlineLevel="0" collapsed="false">
      <c r="A25" s="6" t="s">
        <v>323</v>
      </c>
      <c r="B25" s="6" t="s">
        <v>307</v>
      </c>
      <c r="C25" s="22" t="n">
        <v>5792729</v>
      </c>
      <c r="D25" s="22" t="n">
        <v>3093700</v>
      </c>
      <c r="E25" s="22" t="n">
        <v>1083061</v>
      </c>
      <c r="F25" s="9" t="n">
        <v>0.05</v>
      </c>
      <c r="G25" s="22" t="n">
        <v>261694</v>
      </c>
      <c r="H25" s="22" t="n">
        <v>771003</v>
      </c>
      <c r="I25" s="22" t="n">
        <v>3535073</v>
      </c>
      <c r="J25" s="22" t="n">
        <v>14537260</v>
      </c>
      <c r="K25" s="18" t="n">
        <f aca="false">C25+D25+E25+G25+H25+I25</f>
        <v>14537260</v>
      </c>
      <c r="L25" s="23" t="n">
        <f aca="false">K25-J25</f>
        <v>0</v>
      </c>
    </row>
    <row r="26" customFormat="false" ht="15" hidden="false" customHeight="false" outlineLevel="0" collapsed="false">
      <c r="A26" s="6" t="s">
        <v>324</v>
      </c>
      <c r="B26" s="6" t="s">
        <v>307</v>
      </c>
      <c r="C26" s="22" t="n">
        <v>8203678</v>
      </c>
      <c r="D26" s="22" t="n">
        <v>2565877</v>
      </c>
      <c r="E26" s="22" t="n">
        <v>545485</v>
      </c>
      <c r="F26" s="9" t="n">
        <v>0.025</v>
      </c>
      <c r="G26" s="22" t="n">
        <v>197490</v>
      </c>
      <c r="H26" s="22" t="n">
        <v>753101</v>
      </c>
      <c r="I26" s="22" t="n">
        <v>2938891</v>
      </c>
      <c r="J26" s="22" t="n">
        <v>15204522</v>
      </c>
      <c r="K26" s="18" t="n">
        <f aca="false">C26+D26+E26+G26+H26+I26</f>
        <v>15204522</v>
      </c>
      <c r="L26" s="23" t="n">
        <f aca="false">K26-J26</f>
        <v>0</v>
      </c>
    </row>
    <row r="27" customFormat="false" ht="15" hidden="false" customHeight="false" outlineLevel="0" collapsed="false">
      <c r="A27" s="6" t="s">
        <v>325</v>
      </c>
      <c r="B27" s="6" t="s">
        <v>326</v>
      </c>
      <c r="C27" s="22" t="n">
        <v>7606956</v>
      </c>
      <c r="D27" s="22" t="n">
        <v>2191166</v>
      </c>
      <c r="E27" s="22" t="n">
        <v>571605</v>
      </c>
      <c r="F27" s="9" t="n">
        <v>0.05</v>
      </c>
      <c r="G27" s="22" t="n">
        <v>123417</v>
      </c>
      <c r="H27" s="22" t="n">
        <v>325474</v>
      </c>
      <c r="I27" s="22" t="n">
        <v>1610303</v>
      </c>
      <c r="J27" s="22" t="n">
        <v>12428921</v>
      </c>
      <c r="K27" s="18" t="n">
        <f aca="false">C27+D27+E27+G27+H27+I27</f>
        <v>12428921</v>
      </c>
      <c r="L27" s="23" t="n">
        <f aca="false">K27-J27</f>
        <v>0</v>
      </c>
    </row>
    <row r="28" customFormat="false" ht="15" hidden="false" customHeight="false" outlineLevel="0" collapsed="false">
      <c r="A28" s="6" t="s">
        <v>327</v>
      </c>
      <c r="B28" s="6" t="s">
        <v>326</v>
      </c>
      <c r="C28" s="22" t="n">
        <v>10722094</v>
      </c>
      <c r="D28" s="22" t="n">
        <v>3799988</v>
      </c>
      <c r="E28" s="22" t="n">
        <v>324665</v>
      </c>
      <c r="F28" s="9" t="n">
        <v>0.04</v>
      </c>
      <c r="G28" s="22" t="n">
        <v>134488</v>
      </c>
      <c r="H28" s="22" t="n">
        <v>230416</v>
      </c>
      <c r="I28" s="22" t="n">
        <v>1325568</v>
      </c>
      <c r="J28" s="22" t="n">
        <v>16537219</v>
      </c>
      <c r="K28" s="18" t="n">
        <f aca="false">C28+D28+E28+G28+H28+I28</f>
        <v>16537219</v>
      </c>
      <c r="L28" s="23" t="n">
        <f aca="false">K28-J28</f>
        <v>0</v>
      </c>
    </row>
    <row r="29" customFormat="false" ht="15" hidden="false" customHeight="false" outlineLevel="0" collapsed="false">
      <c r="A29" s="6" t="s">
        <v>328</v>
      </c>
      <c r="B29" s="6" t="s">
        <v>326</v>
      </c>
      <c r="C29" s="22" t="n">
        <v>3456131</v>
      </c>
      <c r="D29" s="22" t="n">
        <v>2025772</v>
      </c>
      <c r="E29" s="22" t="n">
        <v>80016</v>
      </c>
      <c r="F29" s="9" t="n">
        <v>0.04</v>
      </c>
      <c r="G29" s="22" t="n">
        <v>72784</v>
      </c>
      <c r="H29" s="22" t="n">
        <v>91454</v>
      </c>
      <c r="I29" s="22" t="n">
        <v>710587</v>
      </c>
      <c r="J29" s="22" t="n">
        <v>6436744</v>
      </c>
      <c r="K29" s="18" t="n">
        <f aca="false">C29+D29+E29+G29+H29+I29</f>
        <v>6436744</v>
      </c>
      <c r="L29" s="23" t="n">
        <f aca="false">K29-J29</f>
        <v>0</v>
      </c>
    </row>
    <row r="30" customFormat="false" ht="15" hidden="false" customHeight="false" outlineLevel="0" collapsed="false">
      <c r="A30" s="6" t="s">
        <v>329</v>
      </c>
      <c r="B30" s="6" t="s">
        <v>326</v>
      </c>
      <c r="C30" s="22" t="n">
        <v>3364651</v>
      </c>
      <c r="D30" s="22" t="n">
        <v>2206475</v>
      </c>
      <c r="E30" s="22" t="n">
        <v>24111</v>
      </c>
      <c r="F30" s="9" t="n">
        <v>0.03</v>
      </c>
      <c r="G30" s="22" t="n">
        <v>65871</v>
      </c>
      <c r="H30" s="22" t="n">
        <v>49486</v>
      </c>
      <c r="I30" s="22" t="n">
        <v>677028</v>
      </c>
      <c r="J30" s="22" t="n">
        <v>6387622</v>
      </c>
      <c r="K30" s="18" t="n">
        <f aca="false">C30+D30+E30+G30+H30+I30</f>
        <v>6387622</v>
      </c>
      <c r="L30" s="23" t="n">
        <f aca="false">K30-J30</f>
        <v>0</v>
      </c>
    </row>
    <row r="31" customFormat="false" ht="15" hidden="false" customHeight="false" outlineLevel="0" collapsed="false">
      <c r="A31" s="6" t="s">
        <v>326</v>
      </c>
      <c r="B31" s="6" t="s">
        <v>326</v>
      </c>
      <c r="C31" s="22" t="n">
        <v>14533112</v>
      </c>
      <c r="D31" s="22" t="n">
        <v>4763045</v>
      </c>
      <c r="E31" s="22" t="n">
        <v>2484953</v>
      </c>
      <c r="F31" s="9" t="n">
        <v>0.05</v>
      </c>
      <c r="G31" s="22" t="n">
        <v>346385</v>
      </c>
      <c r="H31" s="22" t="n">
        <v>1373655</v>
      </c>
      <c r="I31" s="22" t="n">
        <v>4571262</v>
      </c>
      <c r="J31" s="22" t="n">
        <v>28072412</v>
      </c>
      <c r="K31" s="18" t="n">
        <f aca="false">C31+D31+E31+G31+H31+I31</f>
        <v>28072412</v>
      </c>
      <c r="L31" s="23" t="n">
        <f aca="false">K31-J31</f>
        <v>0</v>
      </c>
    </row>
    <row r="32" customFormat="false" ht="15" hidden="false" customHeight="false" outlineLevel="0" collapsed="false">
      <c r="A32" s="6" t="s">
        <v>330</v>
      </c>
      <c r="B32" s="6" t="s">
        <v>326</v>
      </c>
      <c r="C32" s="22" t="n">
        <v>8814415</v>
      </c>
      <c r="D32" s="22" t="n">
        <v>2512791</v>
      </c>
      <c r="E32" s="22" t="n">
        <v>457563</v>
      </c>
      <c r="F32" s="9" t="n">
        <v>0.04</v>
      </c>
      <c r="G32" s="22" t="n">
        <v>105556</v>
      </c>
      <c r="H32" s="22" t="n">
        <v>271075</v>
      </c>
      <c r="I32" s="22" t="n">
        <v>1642668</v>
      </c>
      <c r="J32" s="22" t="n">
        <v>13804068</v>
      </c>
      <c r="K32" s="18" t="n">
        <f aca="false">C32+D32+E32+G32+H32+I32</f>
        <v>13804068</v>
      </c>
      <c r="L32" s="23" t="n">
        <f aca="false">K32-J32</f>
        <v>0</v>
      </c>
    </row>
    <row r="33" customFormat="false" ht="15" hidden="false" customHeight="false" outlineLevel="0" collapsed="false">
      <c r="A33" s="6" t="s">
        <v>331</v>
      </c>
      <c r="B33" s="6" t="s">
        <v>326</v>
      </c>
      <c r="C33" s="22" t="n">
        <v>4067939</v>
      </c>
      <c r="D33" s="22" t="n">
        <v>1470730</v>
      </c>
      <c r="E33" s="22" t="n">
        <v>211440</v>
      </c>
      <c r="F33" s="9" t="n">
        <v>0.05</v>
      </c>
      <c r="G33" s="22" t="n">
        <v>82114</v>
      </c>
      <c r="H33" s="22" t="n">
        <v>171716</v>
      </c>
      <c r="I33" s="22" t="n">
        <v>947818</v>
      </c>
      <c r="J33" s="22" t="n">
        <v>6951757</v>
      </c>
      <c r="K33" s="18" t="n">
        <f aca="false">C33+D33+E33+G33+H33+I33</f>
        <v>6951757</v>
      </c>
      <c r="L33" s="23" t="n">
        <f aca="false">K33-J33</f>
        <v>0</v>
      </c>
    </row>
    <row r="34" customFormat="false" ht="15" hidden="false" customHeight="false" outlineLevel="0" collapsed="false">
      <c r="A34" s="6" t="s">
        <v>332</v>
      </c>
      <c r="B34" s="6" t="s">
        <v>326</v>
      </c>
      <c r="C34" s="22" t="n">
        <v>7852021</v>
      </c>
      <c r="D34" s="22" t="n">
        <v>3199279</v>
      </c>
      <c r="E34" s="22" t="n">
        <v>231953</v>
      </c>
      <c r="F34" s="9" t="n">
        <v>0.04</v>
      </c>
      <c r="G34" s="22" t="n">
        <v>113573</v>
      </c>
      <c r="H34" s="22" t="n">
        <v>256337</v>
      </c>
      <c r="I34" s="22" t="n">
        <v>1186450</v>
      </c>
      <c r="J34" s="22" t="n">
        <v>12839613</v>
      </c>
      <c r="K34" s="18" t="n">
        <f aca="false">C34+D34+E34+G34+H34+I34</f>
        <v>12839613</v>
      </c>
      <c r="L34" s="23" t="n">
        <f aca="false">K34-J34</f>
        <v>0</v>
      </c>
    </row>
    <row r="35" customFormat="false" ht="15" hidden="false" customHeight="false" outlineLevel="0" collapsed="false">
      <c r="A35" s="6" t="s">
        <v>333</v>
      </c>
      <c r="B35" s="6" t="s">
        <v>326</v>
      </c>
      <c r="C35" s="22" t="n">
        <v>14171299</v>
      </c>
      <c r="D35" s="22" t="n">
        <v>4914505</v>
      </c>
      <c r="E35" s="22" t="n">
        <v>126065</v>
      </c>
      <c r="F35" s="9" t="n">
        <v>0.03</v>
      </c>
      <c r="G35" s="22" t="n">
        <v>108126</v>
      </c>
      <c r="H35" s="22" t="n">
        <v>175142</v>
      </c>
      <c r="I35" s="22" t="n">
        <v>1398469</v>
      </c>
      <c r="J35" s="22" t="n">
        <v>20893606</v>
      </c>
      <c r="K35" s="18" t="n">
        <f aca="false">C35+D35+E35+G35+H35+I35</f>
        <v>20893606</v>
      </c>
      <c r="L35" s="23" t="n">
        <f aca="false">K35-J35</f>
        <v>0</v>
      </c>
    </row>
    <row r="36" customFormat="false" ht="15" hidden="false" customHeight="false" outlineLevel="0" collapsed="false">
      <c r="A36" s="6" t="s">
        <v>334</v>
      </c>
      <c r="B36" s="6" t="s">
        <v>326</v>
      </c>
      <c r="C36" s="22" t="n">
        <v>14172141</v>
      </c>
      <c r="D36" s="22" t="n">
        <v>3969009</v>
      </c>
      <c r="E36" s="22" t="n">
        <v>240981</v>
      </c>
      <c r="F36" s="9" t="n">
        <v>0.025</v>
      </c>
      <c r="G36" s="22" t="n">
        <v>154119</v>
      </c>
      <c r="H36" s="22" t="n">
        <v>598588</v>
      </c>
      <c r="I36" s="22" t="n">
        <v>2448688</v>
      </c>
      <c r="J36" s="22" t="n">
        <v>21583526</v>
      </c>
      <c r="K36" s="18" t="n">
        <f aca="false">C36+D36+E36+G36+H36+I36</f>
        <v>21583526</v>
      </c>
      <c r="L36" s="23" t="n">
        <f aca="false">K36-J36</f>
        <v>0</v>
      </c>
    </row>
    <row r="37" customFormat="false" ht="15" hidden="false" customHeight="false" outlineLevel="0" collapsed="false">
      <c r="A37" s="6" t="s">
        <v>335</v>
      </c>
      <c r="B37" s="6" t="s">
        <v>326</v>
      </c>
      <c r="C37" s="22" t="n">
        <v>21090044</v>
      </c>
      <c r="D37" s="22" t="n">
        <v>7730528</v>
      </c>
      <c r="E37" s="22" t="n">
        <v>823731</v>
      </c>
      <c r="F37" s="9" t="n">
        <v>0.035</v>
      </c>
      <c r="G37" s="22" t="n">
        <v>463382</v>
      </c>
      <c r="H37" s="22" t="n">
        <v>870050</v>
      </c>
      <c r="I37" s="22" t="n">
        <v>4176863</v>
      </c>
      <c r="J37" s="22" t="n">
        <v>35154598</v>
      </c>
      <c r="K37" s="18" t="n">
        <f aca="false">C37+D37+E37+G37+H37+I37</f>
        <v>35154598</v>
      </c>
      <c r="L37" s="23" t="n">
        <f aca="false">K37-J37</f>
        <v>0</v>
      </c>
    </row>
    <row r="38" customFormat="false" ht="15" hidden="false" customHeight="false" outlineLevel="0" collapsed="false">
      <c r="A38" s="6" t="s">
        <v>336</v>
      </c>
      <c r="B38" s="6" t="s">
        <v>326</v>
      </c>
      <c r="C38" s="22" t="n">
        <v>7936357</v>
      </c>
      <c r="D38" s="22" t="n">
        <v>2939886</v>
      </c>
      <c r="E38" s="22" t="n">
        <v>118254</v>
      </c>
      <c r="F38" s="9" t="n">
        <v>0.025</v>
      </c>
      <c r="G38" s="22" t="n">
        <v>92248</v>
      </c>
      <c r="H38" s="22" t="n">
        <v>160473</v>
      </c>
      <c r="I38" s="22" t="n">
        <v>1281827</v>
      </c>
      <c r="J38" s="22" t="n">
        <v>12529045</v>
      </c>
      <c r="K38" s="18" t="n">
        <f aca="false">C38+D38+E38+G38+H38+I38</f>
        <v>12529045</v>
      </c>
      <c r="L38" s="23" t="n">
        <f aca="false">K38-J38</f>
        <v>0</v>
      </c>
    </row>
    <row r="39" customFormat="false" ht="15" hidden="false" customHeight="false" outlineLevel="0" collapsed="false">
      <c r="A39" s="6" t="s">
        <v>337</v>
      </c>
      <c r="B39" s="6" t="s">
        <v>326</v>
      </c>
      <c r="C39" s="22" t="n">
        <v>14632002</v>
      </c>
      <c r="D39" s="22" t="n">
        <v>5265891</v>
      </c>
      <c r="E39" s="22" t="n">
        <v>477780</v>
      </c>
      <c r="F39" s="9" t="n">
        <v>0.045</v>
      </c>
      <c r="G39" s="22" t="n">
        <v>163637</v>
      </c>
      <c r="H39" s="22" t="n">
        <v>507227</v>
      </c>
      <c r="I39" s="22" t="n">
        <v>3804021</v>
      </c>
      <c r="J39" s="22" t="n">
        <v>24850558</v>
      </c>
      <c r="K39" s="18" t="n">
        <f aca="false">C39+D39+E39+G39+H39+I39</f>
        <v>24850558</v>
      </c>
      <c r="L39" s="23" t="n">
        <f aca="false">K39-J39</f>
        <v>0</v>
      </c>
    </row>
    <row r="40" customFormat="false" ht="15" hidden="false" customHeight="false" outlineLevel="0" collapsed="false">
      <c r="A40" s="6" t="s">
        <v>338</v>
      </c>
      <c r="B40" s="6" t="s">
        <v>326</v>
      </c>
      <c r="C40" s="22" t="n">
        <v>5264712</v>
      </c>
      <c r="D40" s="22" t="n">
        <v>1889736</v>
      </c>
      <c r="E40" s="22" t="n">
        <v>210865</v>
      </c>
      <c r="F40" s="9" t="n">
        <v>0.05</v>
      </c>
      <c r="G40" s="22" t="n">
        <v>88794</v>
      </c>
      <c r="H40" s="22" t="n">
        <v>208474</v>
      </c>
      <c r="I40" s="22" t="n">
        <v>1475424</v>
      </c>
      <c r="J40" s="22" t="n">
        <v>9138005</v>
      </c>
      <c r="K40" s="18" t="n">
        <f aca="false">C40+D40+E40+G40+H40+I40</f>
        <v>9138005</v>
      </c>
      <c r="L40" s="23" t="n">
        <f aca="false">K40-J40</f>
        <v>0</v>
      </c>
    </row>
    <row r="41" customFormat="false" ht="15" hidden="false" customHeight="false" outlineLevel="0" collapsed="false">
      <c r="A41" s="6" t="s">
        <v>339</v>
      </c>
      <c r="B41" s="6" t="s">
        <v>340</v>
      </c>
      <c r="C41" s="22" t="n">
        <v>7945050</v>
      </c>
      <c r="D41" s="22" t="n">
        <v>2338850</v>
      </c>
      <c r="E41" s="22" t="n">
        <v>712574</v>
      </c>
      <c r="F41" s="9" t="n">
        <v>0.05</v>
      </c>
      <c r="G41" s="22" t="n">
        <v>257563</v>
      </c>
      <c r="H41" s="22" t="n">
        <v>626251</v>
      </c>
      <c r="I41" s="22" t="n">
        <v>3592350</v>
      </c>
      <c r="J41" s="22" t="n">
        <v>15472638</v>
      </c>
      <c r="K41" s="18" t="n">
        <f aca="false">C41+D41+E41+G41+H41+I41</f>
        <v>15472638</v>
      </c>
      <c r="L41" s="23" t="n">
        <f aca="false">K41-J41</f>
        <v>0</v>
      </c>
    </row>
    <row r="42" customFormat="false" ht="15" hidden="false" customHeight="false" outlineLevel="0" collapsed="false">
      <c r="A42" s="6" t="s">
        <v>341</v>
      </c>
      <c r="B42" s="6" t="s">
        <v>340</v>
      </c>
      <c r="C42" s="22" t="n">
        <v>33691650</v>
      </c>
      <c r="D42" s="22" t="n">
        <v>10629521</v>
      </c>
      <c r="E42" s="22" t="n">
        <v>4246587</v>
      </c>
      <c r="F42" s="9" t="n">
        <v>0.048</v>
      </c>
      <c r="G42" s="22" t="n">
        <v>1036640</v>
      </c>
      <c r="H42" s="22" t="n">
        <v>3878872</v>
      </c>
      <c r="I42" s="22" t="n">
        <v>13947389</v>
      </c>
      <c r="J42" s="22" t="n">
        <v>67430659</v>
      </c>
      <c r="K42" s="18" t="n">
        <f aca="false">C42+D42+E42+G42+H42+I42</f>
        <v>67430659</v>
      </c>
      <c r="L42" s="23" t="n">
        <f aca="false">K42-J42</f>
        <v>0</v>
      </c>
    </row>
    <row r="43" customFormat="false" ht="15" hidden="false" customHeight="false" outlineLevel="0" collapsed="false">
      <c r="A43" s="6" t="s">
        <v>340</v>
      </c>
      <c r="B43" s="6" t="s">
        <v>340</v>
      </c>
      <c r="C43" s="22" t="n">
        <v>13006004</v>
      </c>
      <c r="D43" s="22" t="n">
        <v>8707316</v>
      </c>
      <c r="E43" s="22" t="n">
        <v>9036376</v>
      </c>
      <c r="F43" s="9" t="n">
        <v>0.03</v>
      </c>
      <c r="G43" s="22" t="n">
        <v>1663501</v>
      </c>
      <c r="H43" s="22" t="n">
        <v>6346830</v>
      </c>
      <c r="I43" s="22" t="n">
        <v>31087274</v>
      </c>
      <c r="J43" s="22" t="n">
        <v>69847301</v>
      </c>
      <c r="K43" s="18" t="n">
        <f aca="false">C43+D43+E43+G43+H43+I43</f>
        <v>69847301</v>
      </c>
      <c r="L43" s="23" t="n">
        <f aca="false">K43-J43</f>
        <v>0</v>
      </c>
    </row>
    <row r="44" customFormat="false" ht="15" hidden="false" customHeight="false" outlineLevel="0" collapsed="false">
      <c r="A44" s="6" t="s">
        <v>342</v>
      </c>
      <c r="B44" s="6" t="s">
        <v>340</v>
      </c>
      <c r="C44" s="22" t="n">
        <v>10322268</v>
      </c>
      <c r="D44" s="22" t="n">
        <v>2911722</v>
      </c>
      <c r="E44" s="22" t="n">
        <v>178262</v>
      </c>
      <c r="F44" s="9" t="n">
        <v>0.02</v>
      </c>
      <c r="G44" s="22" t="n">
        <v>165759</v>
      </c>
      <c r="H44" s="22" t="n">
        <v>520262</v>
      </c>
      <c r="I44" s="22" t="n">
        <v>3997114</v>
      </c>
      <c r="J44" s="22" t="n">
        <v>18095387</v>
      </c>
      <c r="K44" s="18" t="n">
        <f aca="false">C44+D44+E44+G44+H44+I44</f>
        <v>18095387</v>
      </c>
      <c r="L44" s="23" t="n">
        <f aca="false">K44-J44</f>
        <v>0</v>
      </c>
    </row>
    <row r="45" customFormat="false" ht="15" hidden="false" customHeight="false" outlineLevel="0" collapsed="false">
      <c r="A45" s="6" t="s">
        <v>343</v>
      </c>
      <c r="B45" s="6" t="s">
        <v>340</v>
      </c>
      <c r="C45" s="22" t="n">
        <v>11803843</v>
      </c>
      <c r="D45" s="22" t="n">
        <v>3311177</v>
      </c>
      <c r="E45" s="22" t="n">
        <v>369235</v>
      </c>
      <c r="F45" s="9" t="n">
        <v>0.04</v>
      </c>
      <c r="G45" s="22" t="n">
        <v>154112</v>
      </c>
      <c r="H45" s="22" t="n">
        <v>506963</v>
      </c>
      <c r="I45" s="22" t="n">
        <v>4518125</v>
      </c>
      <c r="J45" s="22" t="n">
        <v>20663455</v>
      </c>
      <c r="K45" s="18" t="n">
        <f aca="false">C45+D45+E45+G45+H45+I45</f>
        <v>20663455</v>
      </c>
      <c r="L45" s="23" t="n">
        <f aca="false">K45-J45</f>
        <v>0</v>
      </c>
    </row>
    <row r="46" customFormat="false" ht="15" hidden="false" customHeight="false" outlineLevel="0" collapsed="false">
      <c r="A46" s="6" t="s">
        <v>344</v>
      </c>
      <c r="B46" s="6" t="s">
        <v>340</v>
      </c>
      <c r="C46" s="22" t="n">
        <v>3736198</v>
      </c>
      <c r="D46" s="22" t="n">
        <v>4360755</v>
      </c>
      <c r="E46" s="22" t="n">
        <v>2243374</v>
      </c>
      <c r="F46" s="9" t="n">
        <v>0.05</v>
      </c>
      <c r="G46" s="22" t="n">
        <v>390396</v>
      </c>
      <c r="H46" s="22" t="n">
        <v>1407254</v>
      </c>
      <c r="I46" s="22" t="n">
        <v>5340568</v>
      </c>
      <c r="J46" s="22" t="n">
        <v>17478545</v>
      </c>
      <c r="K46" s="18" t="n">
        <f aca="false">C46+D46+E46+G46+H46+I46</f>
        <v>17478545</v>
      </c>
      <c r="L46" s="23" t="n">
        <f aca="false">K46-J46</f>
        <v>0</v>
      </c>
    </row>
    <row r="47" customFormat="false" ht="15" hidden="false" customHeight="false" outlineLevel="0" collapsed="false">
      <c r="A47" s="6" t="s">
        <v>345</v>
      </c>
      <c r="B47" s="6" t="s">
        <v>340</v>
      </c>
      <c r="C47" s="22" t="n">
        <v>18170141</v>
      </c>
      <c r="D47" s="22" t="n">
        <v>5549894</v>
      </c>
      <c r="E47" s="22" t="n">
        <v>1200106</v>
      </c>
      <c r="F47" s="9" t="n">
        <v>0.03</v>
      </c>
      <c r="G47" s="22" t="n">
        <v>414342</v>
      </c>
      <c r="H47" s="22" t="n">
        <v>1490214</v>
      </c>
      <c r="I47" s="22" t="n">
        <v>8968875</v>
      </c>
      <c r="J47" s="22" t="n">
        <v>35793572</v>
      </c>
      <c r="K47" s="18" t="n">
        <f aca="false">C47+D47+E47+G47+H47+I47</f>
        <v>35793572</v>
      </c>
      <c r="L47" s="23" t="n">
        <f aca="false">K47-J47</f>
        <v>0</v>
      </c>
    </row>
    <row r="48" customFormat="false" ht="15" hidden="false" customHeight="false" outlineLevel="0" collapsed="false">
      <c r="A48" s="6" t="s">
        <v>346</v>
      </c>
      <c r="B48" s="6" t="s">
        <v>340</v>
      </c>
      <c r="C48" s="22" t="n">
        <v>24444736</v>
      </c>
      <c r="D48" s="22" t="n">
        <v>12340098</v>
      </c>
      <c r="E48" s="22" t="n">
        <v>7169705</v>
      </c>
      <c r="F48" s="9" t="n">
        <v>0.048</v>
      </c>
      <c r="G48" s="22" t="n">
        <v>1161713</v>
      </c>
      <c r="H48" s="22" t="n">
        <v>4996431</v>
      </c>
      <c r="I48" s="22" t="n">
        <v>25549215</v>
      </c>
      <c r="J48" s="22" t="n">
        <v>75661898</v>
      </c>
      <c r="K48" s="18" t="n">
        <f aca="false">C48+D48+E48+G48+H48+I48</f>
        <v>75661898</v>
      </c>
      <c r="L48" s="23" t="n">
        <f aca="false">K48-J48</f>
        <v>0</v>
      </c>
    </row>
    <row r="49" customFormat="false" ht="15" hidden="false" customHeight="false" outlineLevel="0" collapsed="false">
      <c r="A49" s="6" t="s">
        <v>347</v>
      </c>
      <c r="B49" s="6" t="s">
        <v>340</v>
      </c>
      <c r="C49" s="22" t="n">
        <v>9563828</v>
      </c>
      <c r="D49" s="22" t="n">
        <v>2845631</v>
      </c>
      <c r="E49" s="22" t="n">
        <v>500259</v>
      </c>
      <c r="F49" s="9" t="n">
        <v>0.038</v>
      </c>
      <c r="G49" s="22" t="n">
        <v>207590</v>
      </c>
      <c r="H49" s="22" t="n">
        <v>836919</v>
      </c>
      <c r="I49" s="22" t="n">
        <v>3168796</v>
      </c>
      <c r="J49" s="22" t="n">
        <v>17123023</v>
      </c>
      <c r="K49" s="18" t="n">
        <f aca="false">C49+D49+E49+G49+H49+I49</f>
        <v>17123023</v>
      </c>
      <c r="L49" s="23" t="n">
        <f aca="false">K49-J49</f>
        <v>0</v>
      </c>
    </row>
    <row r="50" customFormat="false" ht="15" hidden="false" customHeight="false" outlineLevel="0" collapsed="false">
      <c r="A50" s="6" t="s">
        <v>348</v>
      </c>
      <c r="B50" s="6" t="s">
        <v>340</v>
      </c>
      <c r="C50" s="22" t="n">
        <v>7559022</v>
      </c>
      <c r="D50" s="22" t="n">
        <v>2712442</v>
      </c>
      <c r="E50" s="22" t="n">
        <v>155950</v>
      </c>
      <c r="F50" s="9" t="n">
        <v>0.04</v>
      </c>
      <c r="G50" s="22" t="n">
        <v>133370</v>
      </c>
      <c r="H50" s="22" t="n">
        <v>186086</v>
      </c>
      <c r="I50" s="22" t="n">
        <v>2348633</v>
      </c>
      <c r="J50" s="22" t="n">
        <v>13095503</v>
      </c>
      <c r="K50" s="18" t="n">
        <f aca="false">C50+D50+E50+G50+H50+I50</f>
        <v>13095503</v>
      </c>
      <c r="L50" s="23" t="n">
        <f aca="false">K50-J50</f>
        <v>0</v>
      </c>
    </row>
    <row r="51" customFormat="false" ht="15" hidden="false" customHeight="false" outlineLevel="0" collapsed="false">
      <c r="A51" s="6" t="s">
        <v>349</v>
      </c>
      <c r="B51" s="6" t="s">
        <v>340</v>
      </c>
      <c r="C51" s="22" t="n">
        <v>8419670</v>
      </c>
      <c r="D51" s="22" t="n">
        <v>3026127</v>
      </c>
      <c r="E51" s="22" t="n">
        <v>380900</v>
      </c>
      <c r="F51" s="9" t="n">
        <v>0.05</v>
      </c>
      <c r="G51" s="22" t="n">
        <v>166687</v>
      </c>
      <c r="H51" s="22" t="n">
        <v>348553</v>
      </c>
      <c r="I51" s="22" t="n">
        <v>2356986</v>
      </c>
      <c r="J51" s="22" t="n">
        <v>14698923</v>
      </c>
      <c r="K51" s="18" t="n">
        <f aca="false">C51+D51+E51+G51+H51+I51</f>
        <v>14698923</v>
      </c>
      <c r="L51" s="23" t="n">
        <f aca="false">K51-J51</f>
        <v>0</v>
      </c>
    </row>
    <row r="52" customFormat="false" ht="15" hidden="false" customHeight="false" outlineLevel="0" collapsed="false">
      <c r="A52" s="6" t="s">
        <v>350</v>
      </c>
      <c r="B52" s="6" t="s">
        <v>340</v>
      </c>
      <c r="C52" s="22" t="n">
        <v>20379865</v>
      </c>
      <c r="D52" s="22" t="n">
        <v>10572487</v>
      </c>
      <c r="E52" s="22" t="n">
        <v>6541359</v>
      </c>
      <c r="F52" s="9" t="n">
        <v>0.045</v>
      </c>
      <c r="G52" s="22" t="n">
        <v>929242</v>
      </c>
      <c r="H52" s="22" t="n">
        <v>4226869</v>
      </c>
      <c r="I52" s="22" t="n">
        <v>16706103</v>
      </c>
      <c r="J52" s="22" t="n">
        <v>59355925</v>
      </c>
      <c r="K52" s="18" t="n">
        <f aca="false">C52+D52+E52+G52+H52+I52</f>
        <v>59355925</v>
      </c>
      <c r="L52" s="23" t="n">
        <f aca="false">K52-J52</f>
        <v>0</v>
      </c>
    </row>
    <row r="53" customFormat="false" ht="15" hidden="false" customHeight="false" outlineLevel="0" collapsed="false">
      <c r="A53" s="6" t="s">
        <v>351</v>
      </c>
      <c r="B53" s="6" t="s">
        <v>340</v>
      </c>
      <c r="C53" s="22" t="n">
        <v>18447169</v>
      </c>
      <c r="D53" s="22" t="n">
        <v>5611715</v>
      </c>
      <c r="E53" s="22" t="n">
        <v>1620733</v>
      </c>
      <c r="F53" s="9" t="n">
        <v>0.05</v>
      </c>
      <c r="G53" s="22" t="n">
        <v>404822</v>
      </c>
      <c r="H53" s="22" t="n">
        <v>1686058</v>
      </c>
      <c r="I53" s="22" t="n">
        <v>7014341</v>
      </c>
      <c r="J53" s="22" t="n">
        <v>34784838</v>
      </c>
      <c r="K53" s="18" t="n">
        <f aca="false">C53+D53+E53+G53+H53+I53</f>
        <v>34784838</v>
      </c>
      <c r="L53" s="23" t="n">
        <f aca="false">K53-J53</f>
        <v>0</v>
      </c>
    </row>
    <row r="54" customFormat="false" ht="15" hidden="false" customHeight="false" outlineLevel="0" collapsed="false">
      <c r="A54" s="6" t="s">
        <v>352</v>
      </c>
      <c r="B54" s="6" t="s">
        <v>340</v>
      </c>
      <c r="C54" s="22" t="n">
        <v>6530556</v>
      </c>
      <c r="D54" s="22" t="n">
        <v>2129927</v>
      </c>
      <c r="E54" s="22" t="n">
        <v>527416</v>
      </c>
      <c r="F54" s="9" t="n">
        <v>0.03</v>
      </c>
      <c r="G54" s="22" t="n">
        <v>225280</v>
      </c>
      <c r="H54" s="22" t="n">
        <v>960072</v>
      </c>
      <c r="I54" s="22" t="n">
        <v>3751909</v>
      </c>
      <c r="J54" s="22" t="n">
        <v>14125160</v>
      </c>
      <c r="K54" s="18" t="n">
        <f aca="false">C54+D54+E54+G54+H54+I54</f>
        <v>14125160</v>
      </c>
      <c r="L54" s="23" t="n">
        <f aca="false">K54-J54</f>
        <v>0</v>
      </c>
    </row>
    <row r="55" customFormat="false" ht="15" hidden="false" customHeight="false" outlineLevel="0" collapsed="false">
      <c r="A55" s="6" t="s">
        <v>353</v>
      </c>
      <c r="B55" s="6" t="s">
        <v>354</v>
      </c>
      <c r="C55" s="22" t="n">
        <v>5760978</v>
      </c>
      <c r="D55" s="22" t="n">
        <v>3852392</v>
      </c>
      <c r="E55" s="22" t="n">
        <v>148521</v>
      </c>
      <c r="F55" s="9" t="n">
        <v>0.05</v>
      </c>
      <c r="G55" s="22" t="n">
        <v>80041</v>
      </c>
      <c r="H55" s="22" t="n">
        <v>101816</v>
      </c>
      <c r="I55" s="22" t="n">
        <v>798499</v>
      </c>
      <c r="J55" s="22" t="n">
        <v>10742247</v>
      </c>
      <c r="K55" s="18" t="n">
        <f aca="false">C55+D55+E55+G55+H55+I55</f>
        <v>10742247</v>
      </c>
      <c r="L55" s="23" t="n">
        <f aca="false">K55-J55</f>
        <v>0</v>
      </c>
    </row>
    <row r="56" customFormat="false" ht="15" hidden="false" customHeight="false" outlineLevel="0" collapsed="false">
      <c r="A56" s="6" t="s">
        <v>354</v>
      </c>
      <c r="B56" s="6" t="s">
        <v>354</v>
      </c>
      <c r="C56" s="22" t="n">
        <v>17523218</v>
      </c>
      <c r="D56" s="22" t="n">
        <v>5423672</v>
      </c>
      <c r="E56" s="22" t="n">
        <v>1820085</v>
      </c>
      <c r="F56" s="9" t="n">
        <v>0.04</v>
      </c>
      <c r="G56" s="22" t="n">
        <v>352422</v>
      </c>
      <c r="H56" s="22" t="n">
        <v>1046845</v>
      </c>
      <c r="I56" s="22" t="n">
        <v>5834348</v>
      </c>
      <c r="J56" s="22" t="n">
        <v>32000590</v>
      </c>
      <c r="K56" s="18" t="n">
        <f aca="false">C56+D56+E56+G56+H56+I56</f>
        <v>32000590</v>
      </c>
      <c r="L56" s="23" t="n">
        <f aca="false">K56-J56</f>
        <v>0</v>
      </c>
    </row>
    <row r="57" customFormat="false" ht="15" hidden="false" customHeight="false" outlineLevel="0" collapsed="false">
      <c r="A57" s="6" t="s">
        <v>355</v>
      </c>
      <c r="B57" s="6" t="s">
        <v>354</v>
      </c>
      <c r="C57" s="22" t="n">
        <v>6902802</v>
      </c>
      <c r="D57" s="22" t="n">
        <v>3595071</v>
      </c>
      <c r="E57" s="22" t="n">
        <v>0</v>
      </c>
      <c r="F57" s="9" t="n">
        <v>0</v>
      </c>
      <c r="G57" s="22" t="n">
        <v>93233</v>
      </c>
      <c r="H57" s="22" t="n">
        <v>146995</v>
      </c>
      <c r="I57" s="22" t="n">
        <v>915976</v>
      </c>
      <c r="J57" s="22" t="n">
        <v>11654077</v>
      </c>
      <c r="K57" s="18" t="n">
        <f aca="false">C57+D57+E57+G57+H57+I57</f>
        <v>11654077</v>
      </c>
      <c r="L57" s="23" t="n">
        <f aca="false">K57-J57</f>
        <v>0</v>
      </c>
    </row>
    <row r="58" customFormat="false" ht="15" hidden="false" customHeight="false" outlineLevel="0" collapsed="false">
      <c r="A58" s="6" t="s">
        <v>356</v>
      </c>
      <c r="B58" s="6" t="s">
        <v>354</v>
      </c>
      <c r="C58" s="22" t="n">
        <v>6074782</v>
      </c>
      <c r="D58" s="22" t="n">
        <v>2381548</v>
      </c>
      <c r="E58" s="22" t="n">
        <v>93514</v>
      </c>
      <c r="F58" s="9" t="n">
        <v>0.05</v>
      </c>
      <c r="G58" s="22" t="n">
        <v>74807</v>
      </c>
      <c r="H58" s="22" t="n">
        <v>76206</v>
      </c>
      <c r="I58" s="22" t="n">
        <v>853185</v>
      </c>
      <c r="J58" s="22" t="n">
        <v>9554042</v>
      </c>
      <c r="K58" s="18" t="n">
        <f aca="false">C58+D58+E58+G58+H58+I58</f>
        <v>9554042</v>
      </c>
      <c r="L58" s="23" t="n">
        <f aca="false">K58-J58</f>
        <v>0</v>
      </c>
    </row>
    <row r="59" customFormat="false" ht="15" hidden="false" customHeight="false" outlineLevel="0" collapsed="false">
      <c r="A59" s="6" t="s">
        <v>357</v>
      </c>
      <c r="B59" s="6" t="s">
        <v>354</v>
      </c>
      <c r="C59" s="22" t="n">
        <v>12129117</v>
      </c>
      <c r="D59" s="22" t="n">
        <v>4999548</v>
      </c>
      <c r="E59" s="22" t="n">
        <v>111725</v>
      </c>
      <c r="F59" s="9" t="n">
        <v>0.01</v>
      </c>
      <c r="G59" s="22" t="n">
        <v>137074</v>
      </c>
      <c r="H59" s="22" t="n">
        <v>364012</v>
      </c>
      <c r="I59" s="22" t="n">
        <v>1689210</v>
      </c>
      <c r="J59" s="22" t="n">
        <v>19430686</v>
      </c>
      <c r="K59" s="18" t="n">
        <f aca="false">C59+D59+E59+G59+H59+I59</f>
        <v>19430686</v>
      </c>
      <c r="L59" s="23" t="n">
        <f aca="false">K59-J59</f>
        <v>0</v>
      </c>
    </row>
    <row r="60" customFormat="false" ht="15" hidden="false" customHeight="false" outlineLevel="0" collapsed="false">
      <c r="A60" s="6" t="s">
        <v>358</v>
      </c>
      <c r="B60" s="6" t="s">
        <v>354</v>
      </c>
      <c r="C60" s="22" t="n">
        <v>7805281</v>
      </c>
      <c r="D60" s="22" t="n">
        <v>3936074</v>
      </c>
      <c r="E60" s="22" t="n">
        <v>135102</v>
      </c>
      <c r="F60" s="9" t="n">
        <v>0.025</v>
      </c>
      <c r="G60" s="22" t="n">
        <v>102710</v>
      </c>
      <c r="H60" s="22" t="n">
        <v>169324</v>
      </c>
      <c r="I60" s="22" t="n">
        <v>1382503</v>
      </c>
      <c r="J60" s="22" t="n">
        <v>13530994</v>
      </c>
      <c r="K60" s="18" t="n">
        <f aca="false">C60+D60+E60+G60+H60+I60</f>
        <v>13530994</v>
      </c>
      <c r="L60" s="23" t="n">
        <f aca="false">K60-J60</f>
        <v>0</v>
      </c>
    </row>
    <row r="61" customFormat="false" ht="15" hidden="false" customHeight="false" outlineLevel="0" collapsed="false">
      <c r="A61" s="6" t="s">
        <v>359</v>
      </c>
      <c r="B61" s="6" t="s">
        <v>354</v>
      </c>
      <c r="C61" s="22" t="n">
        <v>12149578</v>
      </c>
      <c r="D61" s="22" t="n">
        <v>5721897</v>
      </c>
      <c r="E61" s="22" t="n">
        <v>412276</v>
      </c>
      <c r="F61" s="9" t="n">
        <v>0.02</v>
      </c>
      <c r="G61" s="22" t="n">
        <v>212344</v>
      </c>
      <c r="H61" s="22" t="n">
        <v>620262</v>
      </c>
      <c r="I61" s="22" t="n">
        <v>2949554</v>
      </c>
      <c r="J61" s="22" t="n">
        <v>22065911</v>
      </c>
      <c r="K61" s="18" t="n">
        <f aca="false">C61+D61+E61+G61+H61+I61</f>
        <v>22065911</v>
      </c>
      <c r="L61" s="23" t="n">
        <f aca="false">K61-J61</f>
        <v>0</v>
      </c>
    </row>
    <row r="62" customFormat="false" ht="15" hidden="false" customHeight="false" outlineLevel="0" collapsed="false">
      <c r="A62" s="6" t="s">
        <v>360</v>
      </c>
      <c r="B62" s="6" t="s">
        <v>354</v>
      </c>
      <c r="C62" s="22" t="n">
        <v>10296237</v>
      </c>
      <c r="D62" s="22" t="n">
        <v>5395199</v>
      </c>
      <c r="E62" s="22" t="n">
        <v>166628</v>
      </c>
      <c r="F62" s="9" t="n">
        <v>0.025</v>
      </c>
      <c r="G62" s="22" t="n">
        <v>106303</v>
      </c>
      <c r="H62" s="22" t="n">
        <v>172794</v>
      </c>
      <c r="I62" s="22" t="n">
        <v>1070278</v>
      </c>
      <c r="J62" s="22" t="n">
        <v>17207439</v>
      </c>
      <c r="K62" s="18" t="n">
        <f aca="false">C62+D62+E62+G62+H62+I62</f>
        <v>17207439</v>
      </c>
      <c r="L62" s="23" t="n">
        <f aca="false">K62-J62</f>
        <v>0</v>
      </c>
    </row>
    <row r="63" customFormat="false" ht="15" hidden="false" customHeight="false" outlineLevel="0" collapsed="false">
      <c r="A63" s="6" t="s">
        <v>361</v>
      </c>
      <c r="B63" s="6" t="s">
        <v>354</v>
      </c>
      <c r="C63" s="22" t="n">
        <v>7564582</v>
      </c>
      <c r="D63" s="22" t="n">
        <v>5068651</v>
      </c>
      <c r="E63" s="22" t="n">
        <v>228930</v>
      </c>
      <c r="F63" s="9" t="n">
        <v>0.05</v>
      </c>
      <c r="G63" s="22" t="n">
        <v>153158</v>
      </c>
      <c r="H63" s="22" t="n">
        <v>158804</v>
      </c>
      <c r="I63" s="22" t="n">
        <v>1183388</v>
      </c>
      <c r="J63" s="22" t="n">
        <v>14357513</v>
      </c>
      <c r="K63" s="18" t="n">
        <f aca="false">C63+D63+E63+G63+H63+I63</f>
        <v>14357513</v>
      </c>
      <c r="L63" s="23" t="n">
        <f aca="false">K63-J63</f>
        <v>0</v>
      </c>
    </row>
    <row r="64" customFormat="false" ht="15" hidden="false" customHeight="false" outlineLevel="0" collapsed="false">
      <c r="A64" s="6" t="s">
        <v>362</v>
      </c>
      <c r="B64" s="6" t="s">
        <v>354</v>
      </c>
      <c r="C64" s="22" t="n">
        <v>6068426</v>
      </c>
      <c r="D64" s="22" t="n">
        <v>3771903</v>
      </c>
      <c r="E64" s="22" t="n">
        <v>0</v>
      </c>
      <c r="F64" s="9" t="n">
        <v>0</v>
      </c>
      <c r="G64" s="22" t="n">
        <v>87958</v>
      </c>
      <c r="H64" s="22" t="n">
        <v>150836</v>
      </c>
      <c r="I64" s="22" t="n">
        <v>1339789</v>
      </c>
      <c r="J64" s="22" t="n">
        <v>11418912</v>
      </c>
      <c r="K64" s="18" t="n">
        <f aca="false">C64+D64+E64+G64+H64+I64</f>
        <v>11418912</v>
      </c>
      <c r="L64" s="23" t="n">
        <f aca="false">K64-J64</f>
        <v>0</v>
      </c>
    </row>
    <row r="65" customFormat="false" ht="15" hidden="false" customHeight="false" outlineLevel="0" collapsed="false">
      <c r="A65" s="6" t="s">
        <v>363</v>
      </c>
      <c r="B65" s="6" t="s">
        <v>354</v>
      </c>
      <c r="C65" s="22" t="n">
        <v>7382694</v>
      </c>
      <c r="D65" s="22" t="n">
        <v>3311309</v>
      </c>
      <c r="E65" s="22" t="n">
        <v>135184</v>
      </c>
      <c r="F65" s="9" t="n">
        <v>0.05</v>
      </c>
      <c r="G65" s="22" t="n">
        <v>79672</v>
      </c>
      <c r="H65" s="22" t="n">
        <v>72205</v>
      </c>
      <c r="I65" s="22" t="n">
        <v>1104369</v>
      </c>
      <c r="J65" s="22" t="n">
        <v>12085433</v>
      </c>
      <c r="K65" s="18" t="n">
        <f aca="false">C65+D65+E65+G65+H65+I65</f>
        <v>12085433</v>
      </c>
      <c r="L65" s="23" t="n">
        <f aca="false">K65-J65</f>
        <v>0</v>
      </c>
    </row>
    <row r="66" customFormat="false" ht="15" hidden="false" customHeight="false" outlineLevel="0" collapsed="false">
      <c r="A66" s="6" t="s">
        <v>364</v>
      </c>
      <c r="B66" s="6" t="s">
        <v>354</v>
      </c>
      <c r="C66" s="22" t="n">
        <v>11498188</v>
      </c>
      <c r="D66" s="22" t="n">
        <v>4445115</v>
      </c>
      <c r="E66" s="22" t="n">
        <v>0</v>
      </c>
      <c r="F66" s="9" t="n">
        <v>0</v>
      </c>
      <c r="G66" s="22" t="n">
        <v>93649</v>
      </c>
      <c r="H66" s="22" t="n">
        <v>140041</v>
      </c>
      <c r="I66" s="22" t="n">
        <v>1428544</v>
      </c>
      <c r="J66" s="22" t="n">
        <v>17605537</v>
      </c>
      <c r="K66" s="18" t="n">
        <f aca="false">C66+D66+E66+G66+H66+I66</f>
        <v>17605537</v>
      </c>
      <c r="L66" s="23" t="n">
        <f aca="false">K66-J66</f>
        <v>0</v>
      </c>
    </row>
    <row r="67" customFormat="false" ht="15" hidden="false" customHeight="false" outlineLevel="0" collapsed="false">
      <c r="A67" s="6" t="s">
        <v>365</v>
      </c>
      <c r="B67" s="6" t="s">
        <v>366</v>
      </c>
      <c r="C67" s="22" t="n">
        <v>5109883</v>
      </c>
      <c r="D67" s="22" t="n">
        <v>1821910</v>
      </c>
      <c r="E67" s="22" t="n">
        <v>199378</v>
      </c>
      <c r="F67" s="9" t="n">
        <v>0.05</v>
      </c>
      <c r="G67" s="22" t="n">
        <v>100291</v>
      </c>
      <c r="H67" s="22" t="n">
        <v>193435</v>
      </c>
      <c r="I67" s="22" t="n">
        <v>1204332</v>
      </c>
      <c r="J67" s="22" t="n">
        <v>8629229</v>
      </c>
      <c r="K67" s="18" t="n">
        <f aca="false">C67+D67+E67+G67+H67+I67</f>
        <v>8629229</v>
      </c>
      <c r="L67" s="23" t="n">
        <f aca="false">K67-J67</f>
        <v>0</v>
      </c>
    </row>
    <row r="68" customFormat="false" ht="15" hidden="false" customHeight="false" outlineLevel="0" collapsed="false">
      <c r="A68" s="6" t="s">
        <v>366</v>
      </c>
      <c r="B68" s="6" t="s">
        <v>366</v>
      </c>
      <c r="C68" s="22" t="n">
        <v>19074690</v>
      </c>
      <c r="D68" s="22" t="n">
        <v>6248405</v>
      </c>
      <c r="E68" s="22" t="n">
        <v>502640</v>
      </c>
      <c r="F68" s="9" t="n">
        <v>0.008</v>
      </c>
      <c r="G68" s="22" t="n">
        <v>493696</v>
      </c>
      <c r="H68" s="22" t="n">
        <v>1825366</v>
      </c>
      <c r="I68" s="22" t="n">
        <v>7417566</v>
      </c>
      <c r="J68" s="22" t="n">
        <v>35562363</v>
      </c>
      <c r="K68" s="18" t="n">
        <f aca="false">C68+D68+E68+G68+H68+I68</f>
        <v>35562363</v>
      </c>
      <c r="L68" s="23" t="n">
        <f aca="false">K68-J68</f>
        <v>0</v>
      </c>
    </row>
    <row r="69" customFormat="false" ht="15" hidden="false" customHeight="false" outlineLevel="0" collapsed="false">
      <c r="A69" s="6" t="s">
        <v>367</v>
      </c>
      <c r="B69" s="6" t="s">
        <v>366</v>
      </c>
      <c r="C69" s="22" t="n">
        <v>17580105</v>
      </c>
      <c r="D69" s="22" t="n">
        <v>5578387</v>
      </c>
      <c r="E69" s="22" t="n">
        <v>2474422</v>
      </c>
      <c r="F69" s="9" t="n">
        <v>0.05</v>
      </c>
      <c r="G69" s="22" t="n">
        <v>427222</v>
      </c>
      <c r="H69" s="22" t="n">
        <v>1451231</v>
      </c>
      <c r="I69" s="22" t="n">
        <v>8493837</v>
      </c>
      <c r="J69" s="22" t="n">
        <v>36005204</v>
      </c>
      <c r="K69" s="18" t="n">
        <f aca="false">C69+D69+E69+G69+H69+I69</f>
        <v>36005204</v>
      </c>
      <c r="L69" s="23" t="n">
        <f aca="false">K69-J69</f>
        <v>0</v>
      </c>
    </row>
    <row r="70" customFormat="false" ht="15" hidden="false" customHeight="false" outlineLevel="0" collapsed="false">
      <c r="A70" s="6" t="s">
        <v>368</v>
      </c>
      <c r="B70" s="6" t="s">
        <v>366</v>
      </c>
      <c r="C70" s="22" t="n">
        <v>15165978</v>
      </c>
      <c r="D70" s="22" t="n">
        <v>4411820</v>
      </c>
      <c r="E70" s="22" t="n">
        <v>1149778</v>
      </c>
      <c r="F70" s="9" t="n">
        <v>0.05</v>
      </c>
      <c r="G70" s="22" t="n">
        <v>282675</v>
      </c>
      <c r="H70" s="22" t="n">
        <v>806670</v>
      </c>
      <c r="I70" s="22" t="n">
        <v>4239444</v>
      </c>
      <c r="J70" s="22" t="n">
        <v>26056365</v>
      </c>
      <c r="K70" s="18" t="n">
        <f aca="false">C70+D70+E70+G70+H70+I70</f>
        <v>26056365</v>
      </c>
      <c r="L70" s="23" t="n">
        <f aca="false">K70-J70</f>
        <v>0</v>
      </c>
    </row>
    <row r="71" customFormat="false" ht="15" hidden="false" customHeight="false" outlineLevel="0" collapsed="false">
      <c r="A71" s="6" t="s">
        <v>369</v>
      </c>
      <c r="B71" s="6" t="s">
        <v>366</v>
      </c>
      <c r="C71" s="22" t="n">
        <v>14731422</v>
      </c>
      <c r="D71" s="22" t="n">
        <v>5869048</v>
      </c>
      <c r="E71" s="22" t="n">
        <v>151785</v>
      </c>
      <c r="F71" s="9" t="n">
        <v>0.025</v>
      </c>
      <c r="G71" s="22" t="n">
        <v>133626</v>
      </c>
      <c r="H71" s="22" t="n">
        <v>232918</v>
      </c>
      <c r="I71" s="22" t="n">
        <v>967503</v>
      </c>
      <c r="J71" s="22" t="n">
        <v>22086302</v>
      </c>
      <c r="K71" s="18" t="n">
        <f aca="false">C71+D71+E71+G71+H71+I71</f>
        <v>22086302</v>
      </c>
      <c r="L71" s="23" t="n">
        <f aca="false">K71-J71</f>
        <v>0</v>
      </c>
    </row>
    <row r="72" customFormat="false" ht="15" hidden="false" customHeight="false" outlineLevel="0" collapsed="false">
      <c r="A72" s="6" t="s">
        <v>370</v>
      </c>
      <c r="B72" s="6" t="s">
        <v>366</v>
      </c>
      <c r="C72" s="22" t="n">
        <v>7354186</v>
      </c>
      <c r="D72" s="22" t="n">
        <v>3626278</v>
      </c>
      <c r="E72" s="22" t="n">
        <v>0</v>
      </c>
      <c r="F72" s="9" t="n">
        <v>0</v>
      </c>
      <c r="G72" s="22" t="n">
        <v>89104</v>
      </c>
      <c r="H72" s="22" t="n">
        <v>92266</v>
      </c>
      <c r="I72" s="22" t="n">
        <v>878484</v>
      </c>
      <c r="J72" s="22" t="n">
        <v>12040318</v>
      </c>
      <c r="K72" s="18" t="n">
        <f aca="false">C72+D72+E72+G72+H72+I72</f>
        <v>12040318</v>
      </c>
      <c r="L72" s="23" t="n">
        <f aca="false">K72-J72</f>
        <v>0</v>
      </c>
    </row>
    <row r="73" customFormat="false" ht="15" hidden="false" customHeight="false" outlineLevel="0" collapsed="false">
      <c r="A73" s="6" t="s">
        <v>371</v>
      </c>
      <c r="B73" s="6" t="s">
        <v>366</v>
      </c>
      <c r="C73" s="22" t="n">
        <v>8430788</v>
      </c>
      <c r="D73" s="22" t="n">
        <v>3062365</v>
      </c>
      <c r="E73" s="22" t="n">
        <v>0</v>
      </c>
      <c r="F73" s="9" t="n">
        <v>0</v>
      </c>
      <c r="G73" s="22" t="n">
        <v>82325</v>
      </c>
      <c r="H73" s="22" t="n">
        <v>107836</v>
      </c>
      <c r="I73" s="22" t="n">
        <v>852416</v>
      </c>
      <c r="J73" s="22" t="n">
        <v>12535730</v>
      </c>
      <c r="K73" s="18" t="n">
        <f aca="false">C73+D73+E73+G73+H73+I73</f>
        <v>12535730</v>
      </c>
      <c r="L73" s="23" t="n">
        <f aca="false">K73-J73</f>
        <v>0</v>
      </c>
    </row>
    <row r="74" customFormat="false" ht="15" hidden="false" customHeight="false" outlineLevel="0" collapsed="false">
      <c r="A74" s="6" t="s">
        <v>372</v>
      </c>
      <c r="B74" s="6" t="s">
        <v>366</v>
      </c>
      <c r="C74" s="22" t="n">
        <v>7691324</v>
      </c>
      <c r="D74" s="22" t="n">
        <v>3110709</v>
      </c>
      <c r="E74" s="22" t="n">
        <v>141355</v>
      </c>
      <c r="F74" s="9" t="n">
        <v>0.025</v>
      </c>
      <c r="G74" s="22" t="n">
        <v>104053</v>
      </c>
      <c r="H74" s="22" t="n">
        <v>179676</v>
      </c>
      <c r="I74" s="22" t="n">
        <v>1212100</v>
      </c>
      <c r="J74" s="22" t="n">
        <v>12439217</v>
      </c>
      <c r="K74" s="18" t="n">
        <f aca="false">C74+D74+E74+G74+H74+I74</f>
        <v>12439217</v>
      </c>
      <c r="L74" s="23" t="n">
        <f aca="false">K74-J74</f>
        <v>0</v>
      </c>
    </row>
    <row r="75" customFormat="false" ht="15" hidden="false" customHeight="false" outlineLevel="0" collapsed="false">
      <c r="A75" s="6" t="s">
        <v>373</v>
      </c>
      <c r="B75" s="6" t="s">
        <v>366</v>
      </c>
      <c r="C75" s="22" t="n">
        <v>10555325</v>
      </c>
      <c r="D75" s="22" t="n">
        <v>3846705</v>
      </c>
      <c r="E75" s="22" t="n">
        <v>250085</v>
      </c>
      <c r="F75" s="9" t="n">
        <v>0.025</v>
      </c>
      <c r="G75" s="22" t="n">
        <v>178869</v>
      </c>
      <c r="H75" s="22" t="n">
        <v>412185</v>
      </c>
      <c r="I75" s="22" t="n">
        <v>2172455</v>
      </c>
      <c r="J75" s="22" t="n">
        <v>17415624</v>
      </c>
      <c r="K75" s="18" t="n">
        <f aca="false">C75+D75+E75+G75+H75+I75</f>
        <v>17415624</v>
      </c>
      <c r="L75" s="23" t="n">
        <f aca="false">K75-J75</f>
        <v>0</v>
      </c>
    </row>
    <row r="76" customFormat="false" ht="15" hidden="false" customHeight="false" outlineLevel="0" collapsed="false">
      <c r="A76" s="6" t="s">
        <v>374</v>
      </c>
      <c r="B76" s="6" t="s">
        <v>366</v>
      </c>
      <c r="C76" s="22" t="n">
        <v>3917933</v>
      </c>
      <c r="D76" s="22" t="n">
        <v>2647569</v>
      </c>
      <c r="E76" s="22" t="n">
        <v>55698</v>
      </c>
      <c r="F76" s="9" t="n">
        <v>0.025</v>
      </c>
      <c r="G76" s="22" t="n">
        <v>80163</v>
      </c>
      <c r="H76" s="22" t="n">
        <v>113561</v>
      </c>
      <c r="I76" s="22" t="n">
        <v>709186</v>
      </c>
      <c r="J76" s="22" t="n">
        <v>7524110</v>
      </c>
      <c r="K76" s="18" t="n">
        <f aca="false">C76+D76+E76+G76+H76+I76</f>
        <v>7524110</v>
      </c>
      <c r="L76" s="23" t="n">
        <f aca="false">K76-J76</f>
        <v>0</v>
      </c>
    </row>
    <row r="77" customFormat="false" ht="15" hidden="false" customHeight="false" outlineLevel="0" collapsed="false">
      <c r="A77" s="6" t="s">
        <v>375</v>
      </c>
      <c r="B77" s="6" t="s">
        <v>366</v>
      </c>
      <c r="C77" s="22" t="n">
        <v>4893342</v>
      </c>
      <c r="D77" s="22" t="n">
        <v>2832907</v>
      </c>
      <c r="E77" s="22" t="n">
        <v>138616</v>
      </c>
      <c r="F77" s="9" t="n">
        <v>0.05</v>
      </c>
      <c r="G77" s="22" t="n">
        <v>93326</v>
      </c>
      <c r="H77" s="22" t="n">
        <v>119216</v>
      </c>
      <c r="I77" s="22" t="n">
        <v>775866</v>
      </c>
      <c r="J77" s="22" t="n">
        <v>8853273</v>
      </c>
      <c r="K77" s="18" t="n">
        <f aca="false">C77+D77+E77+G77+H77+I77</f>
        <v>8853273</v>
      </c>
      <c r="L77" s="23" t="n">
        <f aca="false">K77-J77</f>
        <v>0</v>
      </c>
    </row>
    <row r="78" customFormat="false" ht="15" hidden="false" customHeight="false" outlineLevel="0" collapsed="false">
      <c r="A78" s="6" t="s">
        <v>376</v>
      </c>
      <c r="B78" s="6" t="s">
        <v>377</v>
      </c>
      <c r="C78" s="22" t="n">
        <v>7565431</v>
      </c>
      <c r="D78" s="22" t="n">
        <v>2925407</v>
      </c>
      <c r="E78" s="22" t="n">
        <v>0</v>
      </c>
      <c r="F78" s="9" t="n">
        <v>0</v>
      </c>
      <c r="G78" s="22" t="n">
        <v>267512</v>
      </c>
      <c r="H78" s="22" t="n">
        <v>378526</v>
      </c>
      <c r="I78" s="22" t="n">
        <v>2593533</v>
      </c>
      <c r="J78" s="22" t="n">
        <v>13730409</v>
      </c>
      <c r="K78" s="18" t="n">
        <f aca="false">C78+D78+E78+G78+H78+I78</f>
        <v>13730409</v>
      </c>
      <c r="L78" s="23" t="n">
        <f aca="false">K78-J78</f>
        <v>0</v>
      </c>
    </row>
    <row r="79" customFormat="false" ht="15" hidden="false" customHeight="false" outlineLevel="0" collapsed="false">
      <c r="A79" s="6" t="s">
        <v>378</v>
      </c>
      <c r="B79" s="6" t="s">
        <v>377</v>
      </c>
      <c r="C79" s="22" t="n">
        <v>8634383</v>
      </c>
      <c r="D79" s="22" t="n">
        <v>5199227</v>
      </c>
      <c r="E79" s="22" t="n">
        <v>1689333</v>
      </c>
      <c r="F79" s="9" t="n">
        <v>0.05</v>
      </c>
      <c r="G79" s="22" t="n">
        <v>302786</v>
      </c>
      <c r="H79" s="22" t="n">
        <v>1047529</v>
      </c>
      <c r="I79" s="22" t="n">
        <v>4787494</v>
      </c>
      <c r="J79" s="22" t="n">
        <v>21660752</v>
      </c>
      <c r="K79" s="18" t="n">
        <f aca="false">C79+D79+E79+G79+H79+I79</f>
        <v>21660752</v>
      </c>
      <c r="L79" s="23" t="n">
        <f aca="false">K79-J79</f>
        <v>0</v>
      </c>
    </row>
    <row r="80" customFormat="false" ht="15" hidden="false" customHeight="false" outlineLevel="0" collapsed="false">
      <c r="A80" s="6" t="s">
        <v>377</v>
      </c>
      <c r="B80" s="6" t="s">
        <v>377</v>
      </c>
      <c r="C80" s="22" t="n">
        <v>7285860</v>
      </c>
      <c r="D80" s="22" t="n">
        <v>257264</v>
      </c>
      <c r="E80" s="22" t="n">
        <v>16473523</v>
      </c>
      <c r="F80" s="9" t="n">
        <v>0.05</v>
      </c>
      <c r="G80" s="22" t="n">
        <v>1377460</v>
      </c>
      <c r="H80" s="22" t="n">
        <v>4116092</v>
      </c>
      <c r="I80" s="22" t="n">
        <v>19981870</v>
      </c>
      <c r="J80" s="22" t="n">
        <v>49492069</v>
      </c>
      <c r="K80" s="18" t="n">
        <f aca="false">C80+D80+E80+G80+H80+I80</f>
        <v>49492069</v>
      </c>
      <c r="L80" s="23" t="n">
        <f aca="false">K80-J80</f>
        <v>0</v>
      </c>
    </row>
    <row r="81" customFormat="false" ht="15" hidden="false" customHeight="false" outlineLevel="0" collapsed="false">
      <c r="A81" s="6" t="s">
        <v>379</v>
      </c>
      <c r="B81" s="6" t="s">
        <v>377</v>
      </c>
      <c r="C81" s="22" t="n">
        <v>5419923</v>
      </c>
      <c r="D81" s="22" t="n">
        <v>1829039</v>
      </c>
      <c r="E81" s="22" t="n">
        <v>955312</v>
      </c>
      <c r="F81" s="9" t="n">
        <v>0.04</v>
      </c>
      <c r="G81" s="22" t="n">
        <v>188036</v>
      </c>
      <c r="H81" s="22" t="n">
        <v>591038</v>
      </c>
      <c r="I81" s="22" t="n">
        <v>2096709</v>
      </c>
      <c r="J81" s="22" t="n">
        <v>11080057</v>
      </c>
      <c r="K81" s="18" t="n">
        <f aca="false">C81+D81+E81+G81+H81+I81</f>
        <v>11080057</v>
      </c>
      <c r="L81" s="23" t="n">
        <f aca="false">K81-J81</f>
        <v>0</v>
      </c>
    </row>
    <row r="82" customFormat="false" ht="15" hidden="false" customHeight="false" outlineLevel="0" collapsed="false">
      <c r="A82" s="6" t="s">
        <v>380</v>
      </c>
      <c r="B82" s="6" t="s">
        <v>377</v>
      </c>
      <c r="C82" s="22" t="n">
        <v>6379973</v>
      </c>
      <c r="D82" s="22" t="n">
        <v>2536586</v>
      </c>
      <c r="E82" s="22" t="n">
        <v>4098190</v>
      </c>
      <c r="F82" s="9" t="n">
        <v>0.045</v>
      </c>
      <c r="G82" s="22" t="n">
        <v>621352</v>
      </c>
      <c r="H82" s="22" t="n">
        <v>1986472</v>
      </c>
      <c r="I82" s="22" t="n">
        <v>9064014</v>
      </c>
      <c r="J82" s="22" t="n">
        <v>24686587</v>
      </c>
      <c r="K82" s="18" t="n">
        <f aca="false">C82+D82+E82+G82+H82+I82</f>
        <v>24686587</v>
      </c>
      <c r="L82" s="23" t="n">
        <f aca="false">K82-J82</f>
        <v>0</v>
      </c>
    </row>
    <row r="83" customFormat="false" ht="15" hidden="false" customHeight="false" outlineLevel="0" collapsed="false">
      <c r="A83" s="6" t="s">
        <v>381</v>
      </c>
      <c r="B83" s="6" t="s">
        <v>377</v>
      </c>
      <c r="C83" s="22" t="n">
        <v>4727663</v>
      </c>
      <c r="D83" s="22" t="n">
        <v>3165858</v>
      </c>
      <c r="E83" s="22" t="n">
        <v>66736</v>
      </c>
      <c r="F83" s="9" t="n">
        <v>0.025</v>
      </c>
      <c r="G83" s="22" t="n">
        <v>86158</v>
      </c>
      <c r="H83" s="22" t="n">
        <v>81720</v>
      </c>
      <c r="I83" s="22" t="n">
        <v>1141403</v>
      </c>
      <c r="J83" s="22" t="n">
        <v>9269538</v>
      </c>
      <c r="K83" s="18" t="n">
        <f aca="false">C83+D83+E83+G83+H83+I83</f>
        <v>9269538</v>
      </c>
      <c r="L83" s="23" t="n">
        <f aca="false">K83-J83</f>
        <v>0</v>
      </c>
    </row>
    <row r="84" customFormat="false" ht="15" hidden="false" customHeight="false" outlineLevel="0" collapsed="false">
      <c r="A84" s="6" t="s">
        <v>382</v>
      </c>
      <c r="B84" s="6" t="s">
        <v>377</v>
      </c>
      <c r="C84" s="22" t="n">
        <v>6261700</v>
      </c>
      <c r="D84" s="22" t="n">
        <v>1966963</v>
      </c>
      <c r="E84" s="22" t="n">
        <v>687545</v>
      </c>
      <c r="F84" s="9" t="n">
        <v>0.04</v>
      </c>
      <c r="G84" s="22" t="n">
        <v>191389</v>
      </c>
      <c r="H84" s="22" t="n">
        <v>637597</v>
      </c>
      <c r="I84" s="22" t="n">
        <v>2903162</v>
      </c>
      <c r="J84" s="22" t="n">
        <v>12648356</v>
      </c>
      <c r="K84" s="18" t="n">
        <f aca="false">C84+D84+E84+G84+H84+I84</f>
        <v>12648356</v>
      </c>
      <c r="L84" s="23" t="n">
        <f aca="false">K84-J84</f>
        <v>0</v>
      </c>
    </row>
    <row r="85" customFormat="false" ht="15" hidden="false" customHeight="false" outlineLevel="0" collapsed="false">
      <c r="A85" s="6" t="s">
        <v>383</v>
      </c>
      <c r="B85" s="6" t="s">
        <v>377</v>
      </c>
      <c r="C85" s="22" t="n">
        <v>4580690</v>
      </c>
      <c r="D85" s="22" t="n">
        <v>2125500</v>
      </c>
      <c r="E85" s="22" t="n">
        <v>673491</v>
      </c>
      <c r="F85" s="9" t="n">
        <v>0.05</v>
      </c>
      <c r="G85" s="22" t="n">
        <v>164833</v>
      </c>
      <c r="H85" s="22" t="n">
        <v>401038</v>
      </c>
      <c r="I85" s="22" t="n">
        <v>2256527</v>
      </c>
      <c r="J85" s="22" t="n">
        <v>10202079</v>
      </c>
      <c r="K85" s="18" t="n">
        <f aca="false">C85+D85+E85+G85+H85+I85</f>
        <v>10202079</v>
      </c>
      <c r="L85" s="23" t="n">
        <f aca="false">K85-J85</f>
        <v>0</v>
      </c>
    </row>
    <row r="86" customFormat="false" ht="15" hidden="false" customHeight="false" outlineLevel="0" collapsed="false">
      <c r="A86" s="6" t="s">
        <v>384</v>
      </c>
      <c r="B86" s="6" t="s">
        <v>377</v>
      </c>
      <c r="C86" s="22" t="n">
        <v>6488410</v>
      </c>
      <c r="D86" s="22" t="n">
        <v>1885806</v>
      </c>
      <c r="E86" s="22" t="n">
        <v>393773</v>
      </c>
      <c r="F86" s="9" t="n">
        <v>0.04</v>
      </c>
      <c r="G86" s="22" t="n">
        <v>137588</v>
      </c>
      <c r="H86" s="22" t="n">
        <v>372840</v>
      </c>
      <c r="I86" s="22" t="n">
        <v>2094491</v>
      </c>
      <c r="J86" s="22" t="n">
        <v>11372908</v>
      </c>
      <c r="K86" s="18" t="n">
        <f aca="false">C86+D86+E86+G86+H86+I86</f>
        <v>11372908</v>
      </c>
      <c r="L86" s="23" t="n">
        <f aca="false">K86-J86</f>
        <v>0</v>
      </c>
    </row>
    <row r="87" customFormat="false" ht="15" hidden="false" customHeight="false" outlineLevel="0" collapsed="false">
      <c r="A87" s="6" t="s">
        <v>385</v>
      </c>
      <c r="B87" s="6" t="s">
        <v>377</v>
      </c>
      <c r="C87" s="22" t="n">
        <v>11076604</v>
      </c>
      <c r="D87" s="22" t="n">
        <v>3367746</v>
      </c>
      <c r="E87" s="22" t="n">
        <v>1160914</v>
      </c>
      <c r="F87" s="9" t="n">
        <v>0.045</v>
      </c>
      <c r="G87" s="22" t="n">
        <v>229031</v>
      </c>
      <c r="H87" s="22" t="n">
        <v>701937</v>
      </c>
      <c r="I87" s="22" t="n">
        <v>2855553</v>
      </c>
      <c r="J87" s="22" t="n">
        <v>19391785</v>
      </c>
      <c r="K87" s="18" t="n">
        <f aca="false">C87+D87+E87+G87+H87+I87</f>
        <v>19391785</v>
      </c>
      <c r="L87" s="23" t="n">
        <f aca="false">K87-J87</f>
        <v>0</v>
      </c>
    </row>
    <row r="88" customFormat="false" ht="15" hidden="false" customHeight="false" outlineLevel="0" collapsed="false">
      <c r="A88" s="6" t="s">
        <v>386</v>
      </c>
      <c r="B88" s="6" t="s">
        <v>377</v>
      </c>
      <c r="C88" s="22" t="n">
        <v>9363304</v>
      </c>
      <c r="D88" s="22" t="n">
        <v>2727620</v>
      </c>
      <c r="E88" s="22" t="n">
        <v>593670</v>
      </c>
      <c r="F88" s="9" t="n">
        <v>0.05</v>
      </c>
      <c r="G88" s="22" t="n">
        <v>182833</v>
      </c>
      <c r="H88" s="22" t="n">
        <v>669974</v>
      </c>
      <c r="I88" s="22" t="n">
        <v>3681884</v>
      </c>
      <c r="J88" s="22" t="n">
        <v>17219285</v>
      </c>
      <c r="K88" s="18" t="n">
        <f aca="false">C88+D88+E88+G88+H88+I88</f>
        <v>17219285</v>
      </c>
      <c r="L88" s="23" t="n">
        <f aca="false">K88-J88</f>
        <v>0</v>
      </c>
    </row>
    <row r="89" customFormat="false" ht="15" hidden="false" customHeight="false" outlineLevel="0" collapsed="false">
      <c r="A89" s="6" t="s">
        <v>387</v>
      </c>
      <c r="B89" s="6" t="s">
        <v>377</v>
      </c>
      <c r="C89" s="22" t="n">
        <v>6315665</v>
      </c>
      <c r="D89" s="22" t="n">
        <v>3832601</v>
      </c>
      <c r="E89" s="22" t="n">
        <v>0</v>
      </c>
      <c r="F89" s="9" t="n">
        <v>0</v>
      </c>
      <c r="G89" s="22" t="n">
        <v>74104</v>
      </c>
      <c r="H89" s="22" t="n">
        <v>66659</v>
      </c>
      <c r="I89" s="22" t="n">
        <v>899750</v>
      </c>
      <c r="J89" s="22" t="n">
        <v>11188779</v>
      </c>
      <c r="K89" s="18" t="n">
        <f aca="false">C89+D89+E89+G89+H89+I89</f>
        <v>11188779</v>
      </c>
      <c r="L89" s="23" t="n">
        <f aca="false">K89-J89</f>
        <v>0</v>
      </c>
    </row>
    <row r="90" customFormat="false" ht="15" hidden="false" customHeight="false" outlineLevel="0" collapsed="false">
      <c r="A90" s="6" t="s">
        <v>388</v>
      </c>
      <c r="B90" s="6" t="s">
        <v>377</v>
      </c>
      <c r="C90" s="22" t="n">
        <v>6827303</v>
      </c>
      <c r="D90" s="22" t="n">
        <v>3836961</v>
      </c>
      <c r="E90" s="22" t="n">
        <v>323038</v>
      </c>
      <c r="F90" s="9" t="n">
        <v>0.035</v>
      </c>
      <c r="G90" s="22" t="n">
        <v>156971</v>
      </c>
      <c r="H90" s="22" t="n">
        <v>325333</v>
      </c>
      <c r="I90" s="22" t="n">
        <v>2187456</v>
      </c>
      <c r="J90" s="22" t="n">
        <v>13657062</v>
      </c>
      <c r="K90" s="18" t="n">
        <f aca="false">C90+D90+E90+G90+H90+I90</f>
        <v>13657062</v>
      </c>
      <c r="L90" s="23" t="n">
        <f aca="false">K90-J90</f>
        <v>0</v>
      </c>
    </row>
    <row r="91" customFormat="false" ht="15" hidden="false" customHeight="false" outlineLevel="0" collapsed="false">
      <c r="A91" s="6" t="s">
        <v>389</v>
      </c>
      <c r="B91" s="6" t="s">
        <v>377</v>
      </c>
      <c r="C91" s="22" t="n">
        <v>4583606</v>
      </c>
      <c r="D91" s="22" t="n">
        <v>2066610</v>
      </c>
      <c r="E91" s="22" t="n">
        <v>217346</v>
      </c>
      <c r="F91" s="9" t="n">
        <v>0.05</v>
      </c>
      <c r="G91" s="22" t="n">
        <v>105975</v>
      </c>
      <c r="H91" s="22" t="n">
        <v>157939</v>
      </c>
      <c r="I91" s="22" t="n">
        <v>1018877</v>
      </c>
      <c r="J91" s="22" t="n">
        <v>8150353</v>
      </c>
      <c r="K91" s="18" t="n">
        <f aca="false">C91+D91+E91+G91+H91+I91</f>
        <v>8150353</v>
      </c>
      <c r="L91" s="23" t="n">
        <f aca="false">K91-J91</f>
        <v>0</v>
      </c>
    </row>
    <row r="92" customFormat="false" ht="15" hidden="false" customHeight="false" outlineLevel="0" collapsed="false">
      <c r="A92" s="6" t="s">
        <v>390</v>
      </c>
      <c r="B92" s="6" t="s">
        <v>377</v>
      </c>
      <c r="C92" s="22" t="n">
        <v>9891894</v>
      </c>
      <c r="D92" s="22" t="n">
        <v>2866675</v>
      </c>
      <c r="E92" s="22" t="n">
        <v>808180</v>
      </c>
      <c r="F92" s="9" t="n">
        <v>0.05</v>
      </c>
      <c r="G92" s="22" t="n">
        <v>164958</v>
      </c>
      <c r="H92" s="22" t="n">
        <v>421807</v>
      </c>
      <c r="I92" s="22" t="n">
        <v>2058108</v>
      </c>
      <c r="J92" s="22" t="n">
        <v>16211622</v>
      </c>
      <c r="K92" s="18" t="n">
        <f aca="false">C92+D92+E92+G92+H92+I92</f>
        <v>16211622</v>
      </c>
      <c r="L92" s="23" t="n">
        <f aca="false">K92-J92</f>
        <v>0</v>
      </c>
    </row>
    <row r="93" customFormat="false" ht="15" hidden="false" customHeight="false" outlineLevel="0" collapsed="false">
      <c r="A93" s="6" t="s">
        <v>391</v>
      </c>
      <c r="B93" s="6" t="s">
        <v>377</v>
      </c>
      <c r="C93" s="22" t="n">
        <v>7011388</v>
      </c>
      <c r="D93" s="22" t="n">
        <v>2578761</v>
      </c>
      <c r="E93" s="22" t="n">
        <v>386721</v>
      </c>
      <c r="F93" s="9" t="n">
        <v>0.05</v>
      </c>
      <c r="G93" s="22" t="n">
        <v>133902</v>
      </c>
      <c r="H93" s="22" t="n">
        <v>364219</v>
      </c>
      <c r="I93" s="22" t="n">
        <v>2145236</v>
      </c>
      <c r="J93" s="22" t="n">
        <v>12620227</v>
      </c>
      <c r="K93" s="18" t="n">
        <f aca="false">C93+D93+E93+G93+H93+I93</f>
        <v>12620227</v>
      </c>
      <c r="L93" s="23" t="n">
        <f aca="false">K93-J93</f>
        <v>0</v>
      </c>
    </row>
    <row r="94" customFormat="false" ht="15" hidden="false" customHeight="false" outlineLevel="0" collapsed="false">
      <c r="A94" s="6" t="s">
        <v>392</v>
      </c>
      <c r="B94" s="6" t="s">
        <v>377</v>
      </c>
      <c r="C94" s="22" t="n">
        <v>4422334</v>
      </c>
      <c r="D94" s="22" t="n">
        <v>1844214</v>
      </c>
      <c r="E94" s="22" t="n">
        <v>260601</v>
      </c>
      <c r="F94" s="9" t="n">
        <v>0.05</v>
      </c>
      <c r="G94" s="22" t="n">
        <v>113049</v>
      </c>
      <c r="H94" s="22" t="n">
        <v>227591</v>
      </c>
      <c r="I94" s="22" t="n">
        <v>1515311</v>
      </c>
      <c r="J94" s="22" t="n">
        <v>8383100</v>
      </c>
      <c r="K94" s="18" t="n">
        <f aca="false">C94+D94+E94+G94+H94+I94</f>
        <v>8383100</v>
      </c>
      <c r="L94" s="23" t="n">
        <f aca="false">K94-J94</f>
        <v>0</v>
      </c>
    </row>
    <row r="95" customFormat="false" ht="15" hidden="false" customHeight="false" outlineLevel="0" collapsed="false">
      <c r="A95" s="6" t="s">
        <v>393</v>
      </c>
      <c r="B95" s="6" t="s">
        <v>394</v>
      </c>
      <c r="C95" s="22" t="n">
        <v>7235778</v>
      </c>
      <c r="D95" s="22" t="n">
        <v>2683922</v>
      </c>
      <c r="E95" s="22" t="n">
        <v>184260</v>
      </c>
      <c r="F95" s="9" t="n">
        <v>0.05</v>
      </c>
      <c r="G95" s="22" t="n">
        <v>95674</v>
      </c>
      <c r="H95" s="22" t="n">
        <v>123618</v>
      </c>
      <c r="I95" s="22" t="n">
        <v>1431656</v>
      </c>
      <c r="J95" s="22" t="n">
        <v>11754908</v>
      </c>
      <c r="K95" s="18" t="n">
        <f aca="false">C95+D95+E95+G95+H95+I95</f>
        <v>11754908</v>
      </c>
      <c r="L95" s="23" t="n">
        <f aca="false">K95-J95</f>
        <v>0</v>
      </c>
    </row>
    <row r="96" customFormat="false" ht="15" hidden="false" customHeight="false" outlineLevel="0" collapsed="false">
      <c r="A96" s="6" t="s">
        <v>395</v>
      </c>
      <c r="B96" s="6" t="s">
        <v>394</v>
      </c>
      <c r="C96" s="22" t="n">
        <v>7627181</v>
      </c>
      <c r="D96" s="22" t="n">
        <v>3112758</v>
      </c>
      <c r="E96" s="22" t="n">
        <v>330114</v>
      </c>
      <c r="F96" s="9" t="n">
        <v>0.05</v>
      </c>
      <c r="G96" s="22" t="n">
        <v>114288</v>
      </c>
      <c r="H96" s="22" t="n">
        <v>192517</v>
      </c>
      <c r="I96" s="22" t="n">
        <v>1057081</v>
      </c>
      <c r="J96" s="22" t="n">
        <v>12433939</v>
      </c>
      <c r="K96" s="18" t="n">
        <f aca="false">C96+D96+E96+G96+H96+I96</f>
        <v>12433939</v>
      </c>
      <c r="L96" s="23" t="n">
        <f aca="false">K96-J96</f>
        <v>0</v>
      </c>
    </row>
    <row r="97" customFormat="false" ht="15" hidden="false" customHeight="false" outlineLevel="0" collapsed="false">
      <c r="A97" s="6" t="s">
        <v>396</v>
      </c>
      <c r="B97" s="6" t="s">
        <v>394</v>
      </c>
      <c r="C97" s="22" t="n">
        <v>4983404</v>
      </c>
      <c r="D97" s="22" t="n">
        <v>1799954</v>
      </c>
      <c r="E97" s="22" t="n">
        <v>189160</v>
      </c>
      <c r="F97" s="9" t="n">
        <v>0.04</v>
      </c>
      <c r="G97" s="22" t="n">
        <v>100452</v>
      </c>
      <c r="H97" s="22" t="n">
        <v>221385</v>
      </c>
      <c r="I97" s="22" t="n">
        <v>1699630</v>
      </c>
      <c r="J97" s="22" t="n">
        <v>8993985</v>
      </c>
      <c r="K97" s="18" t="n">
        <f aca="false">C97+D97+E97+G97+H97+I97</f>
        <v>8993985</v>
      </c>
      <c r="L97" s="23" t="n">
        <f aca="false">K97-J97</f>
        <v>0</v>
      </c>
    </row>
    <row r="98" customFormat="false" ht="15" hidden="false" customHeight="false" outlineLevel="0" collapsed="false">
      <c r="A98" s="6" t="s">
        <v>397</v>
      </c>
      <c r="B98" s="6" t="s">
        <v>394</v>
      </c>
      <c r="C98" s="22" t="n">
        <v>9529656</v>
      </c>
      <c r="D98" s="22" t="n">
        <v>3487117</v>
      </c>
      <c r="E98" s="22" t="n">
        <v>305684</v>
      </c>
      <c r="F98" s="9" t="n">
        <v>0.025</v>
      </c>
      <c r="G98" s="22" t="n">
        <v>226247</v>
      </c>
      <c r="H98" s="22" t="n">
        <v>453873</v>
      </c>
      <c r="I98" s="22" t="n">
        <v>2879675</v>
      </c>
      <c r="J98" s="22" t="n">
        <v>16882252</v>
      </c>
      <c r="K98" s="18" t="n">
        <f aca="false">C98+D98+E98+G98+H98+I98</f>
        <v>16882252</v>
      </c>
      <c r="L98" s="23" t="n">
        <f aca="false">K98-J98</f>
        <v>0</v>
      </c>
    </row>
    <row r="99" customFormat="false" ht="15" hidden="false" customHeight="false" outlineLevel="0" collapsed="false">
      <c r="A99" s="6" t="s">
        <v>394</v>
      </c>
      <c r="B99" s="6" t="s">
        <v>394</v>
      </c>
      <c r="C99" s="22" t="n">
        <v>13135534</v>
      </c>
      <c r="D99" s="22" t="n">
        <v>8005339</v>
      </c>
      <c r="E99" s="22" t="n">
        <v>3570726</v>
      </c>
      <c r="F99" s="9" t="n">
        <v>0.04</v>
      </c>
      <c r="G99" s="22" t="n">
        <v>608272</v>
      </c>
      <c r="H99" s="22" t="n">
        <v>1870950</v>
      </c>
      <c r="I99" s="22" t="n">
        <v>7779412</v>
      </c>
      <c r="J99" s="22" t="n">
        <v>34970233</v>
      </c>
      <c r="K99" s="18" t="n">
        <f aca="false">C99+D99+E99+G99+H99+I99</f>
        <v>34970233</v>
      </c>
      <c r="L99" s="23" t="n">
        <f aca="false">K99-J99</f>
        <v>0</v>
      </c>
    </row>
    <row r="100" customFormat="false" ht="15" hidden="false" customHeight="false" outlineLevel="0" collapsed="false">
      <c r="A100" s="6" t="s">
        <v>398</v>
      </c>
      <c r="B100" s="6" t="s">
        <v>394</v>
      </c>
      <c r="C100" s="22" t="n">
        <v>13511320</v>
      </c>
      <c r="D100" s="22" t="n">
        <v>3915216</v>
      </c>
      <c r="E100" s="22" t="n">
        <v>491393</v>
      </c>
      <c r="F100" s="9" t="n">
        <v>0.03</v>
      </c>
      <c r="G100" s="22" t="n">
        <v>177745</v>
      </c>
      <c r="H100" s="22" t="n">
        <v>547603</v>
      </c>
      <c r="I100" s="22" t="n">
        <v>2597901</v>
      </c>
      <c r="J100" s="22" t="n">
        <v>21241178</v>
      </c>
      <c r="K100" s="18" t="n">
        <f aca="false">C100+D100+E100+G100+H100+I100</f>
        <v>21241178</v>
      </c>
      <c r="L100" s="23" t="n">
        <f aca="false">K100-J100</f>
        <v>0</v>
      </c>
    </row>
    <row r="101" customFormat="false" ht="15" hidden="false" customHeight="false" outlineLevel="0" collapsed="false">
      <c r="A101" s="6" t="s">
        <v>399</v>
      </c>
      <c r="B101" s="6" t="s">
        <v>394</v>
      </c>
      <c r="C101" s="22" t="n">
        <v>5271043</v>
      </c>
      <c r="D101" s="22" t="n">
        <v>2568960</v>
      </c>
      <c r="E101" s="22" t="n">
        <v>204646</v>
      </c>
      <c r="F101" s="9" t="n">
        <v>0.05</v>
      </c>
      <c r="G101" s="22" t="n">
        <v>86241</v>
      </c>
      <c r="H101" s="22" t="n">
        <v>118866</v>
      </c>
      <c r="I101" s="22" t="n">
        <v>1008082</v>
      </c>
      <c r="J101" s="22" t="n">
        <v>9257838</v>
      </c>
      <c r="K101" s="18" t="n">
        <f aca="false">C101+D101+E101+G101+H101+I101</f>
        <v>9257838</v>
      </c>
      <c r="L101" s="23" t="n">
        <f aca="false">K101-J101</f>
        <v>0</v>
      </c>
    </row>
    <row r="102" customFormat="false" ht="15" hidden="false" customHeight="false" outlineLevel="0" collapsed="false">
      <c r="A102" s="6" t="s">
        <v>400</v>
      </c>
      <c r="B102" s="6" t="s">
        <v>394</v>
      </c>
      <c r="C102" s="22" t="n">
        <v>3733256</v>
      </c>
      <c r="D102" s="22" t="n">
        <v>2299343</v>
      </c>
      <c r="E102" s="22" t="n">
        <v>44646</v>
      </c>
      <c r="F102" s="9" t="n">
        <v>0.025</v>
      </c>
      <c r="G102" s="22" t="n">
        <v>77136</v>
      </c>
      <c r="H102" s="22" t="n">
        <v>100830</v>
      </c>
      <c r="I102" s="22" t="n">
        <v>1498812</v>
      </c>
      <c r="J102" s="22" t="n">
        <v>7754023</v>
      </c>
      <c r="K102" s="18" t="n">
        <f aca="false">C102+D102+E102+G102+H102+I102</f>
        <v>7754023</v>
      </c>
      <c r="L102" s="23" t="n">
        <f aca="false">K102-J102</f>
        <v>0</v>
      </c>
    </row>
    <row r="103" customFormat="false" ht="15" hidden="false" customHeight="false" outlineLevel="0" collapsed="false">
      <c r="A103" s="6" t="s">
        <v>401</v>
      </c>
      <c r="B103" s="6" t="s">
        <v>394</v>
      </c>
      <c r="C103" s="22" t="n">
        <v>7725731</v>
      </c>
      <c r="D103" s="22" t="n">
        <v>3065002</v>
      </c>
      <c r="E103" s="22" t="n">
        <v>164094</v>
      </c>
      <c r="F103" s="9" t="n">
        <v>0.05</v>
      </c>
      <c r="G103" s="22" t="n">
        <v>110370</v>
      </c>
      <c r="H103" s="22" t="n">
        <v>171677</v>
      </c>
      <c r="I103" s="22" t="n">
        <v>1315997</v>
      </c>
      <c r="J103" s="22" t="n">
        <v>12552871</v>
      </c>
      <c r="K103" s="18" t="n">
        <f aca="false">C103+D103+E103+G103+H103+I103</f>
        <v>12552871</v>
      </c>
      <c r="L103" s="23" t="n">
        <f aca="false">K103-J103</f>
        <v>0</v>
      </c>
    </row>
    <row r="104" customFormat="false" ht="15" hidden="false" customHeight="false" outlineLevel="0" collapsed="false">
      <c r="A104" s="6" t="s">
        <v>402</v>
      </c>
      <c r="B104" s="6" t="s">
        <v>394</v>
      </c>
      <c r="C104" s="22" t="n">
        <v>6101030</v>
      </c>
      <c r="D104" s="22" t="n">
        <v>2189152</v>
      </c>
      <c r="E104" s="22" t="n">
        <v>156461</v>
      </c>
      <c r="F104" s="9" t="n">
        <v>0.03</v>
      </c>
      <c r="G104" s="22" t="n">
        <v>96295</v>
      </c>
      <c r="H104" s="22" t="n">
        <v>215471</v>
      </c>
      <c r="I104" s="22" t="n">
        <v>1153888</v>
      </c>
      <c r="J104" s="22" t="n">
        <v>9912297</v>
      </c>
      <c r="K104" s="18" t="n">
        <f aca="false">C104+D104+E104+G104+H104+I104</f>
        <v>9912297</v>
      </c>
      <c r="L104" s="23" t="n">
        <f aca="false">K104-J104</f>
        <v>0</v>
      </c>
    </row>
    <row r="105" customFormat="false" ht="15" hidden="false" customHeight="false" outlineLevel="0" collapsed="false">
      <c r="A105" s="6" t="s">
        <v>403</v>
      </c>
      <c r="B105" s="6" t="s">
        <v>394</v>
      </c>
      <c r="C105" s="22" t="n">
        <v>6297128</v>
      </c>
      <c r="D105" s="22" t="n">
        <v>2138780</v>
      </c>
      <c r="E105" s="22" t="n">
        <v>458344</v>
      </c>
      <c r="F105" s="9" t="n">
        <v>0.05</v>
      </c>
      <c r="G105" s="22" t="n">
        <v>160591</v>
      </c>
      <c r="H105" s="22" t="n">
        <v>425900</v>
      </c>
      <c r="I105" s="22" t="n">
        <v>2424692</v>
      </c>
      <c r="J105" s="22" t="n">
        <v>11905435</v>
      </c>
      <c r="K105" s="18" t="n">
        <f aca="false">C105+D105+E105+G105+H105+I105</f>
        <v>11905435</v>
      </c>
      <c r="L105" s="23" t="n">
        <f aca="false">K105-J105</f>
        <v>0</v>
      </c>
    </row>
    <row r="106" customFormat="false" ht="15" hidden="false" customHeight="false" outlineLevel="0" collapsed="false">
      <c r="A106" s="6" t="s">
        <v>404</v>
      </c>
      <c r="B106" s="6" t="s">
        <v>394</v>
      </c>
      <c r="C106" s="22" t="n">
        <v>5249534</v>
      </c>
      <c r="D106" s="22" t="n">
        <v>1601436</v>
      </c>
      <c r="E106" s="22" t="n">
        <v>607208</v>
      </c>
      <c r="F106" s="9" t="n">
        <v>0.05</v>
      </c>
      <c r="G106" s="22" t="n">
        <v>184328</v>
      </c>
      <c r="H106" s="22" t="n">
        <v>423464</v>
      </c>
      <c r="I106" s="22" t="n">
        <v>2202827</v>
      </c>
      <c r="J106" s="22" t="n">
        <v>10268797</v>
      </c>
      <c r="K106" s="18" t="n">
        <f aca="false">C106+D106+E106+G106+H106+I106</f>
        <v>10268797</v>
      </c>
      <c r="L106" s="23" t="n">
        <f aca="false">K106-J106</f>
        <v>0</v>
      </c>
    </row>
    <row r="107" customFormat="false" ht="15" hidden="false" customHeight="false" outlineLevel="0" collapsed="false">
      <c r="A107" s="6" t="s">
        <v>405</v>
      </c>
      <c r="B107" s="6" t="s">
        <v>394</v>
      </c>
      <c r="C107" s="22" t="n">
        <v>5443874</v>
      </c>
      <c r="D107" s="22" t="n">
        <v>1956098</v>
      </c>
      <c r="E107" s="22" t="n">
        <v>120838</v>
      </c>
      <c r="F107" s="9" t="n">
        <v>0.025</v>
      </c>
      <c r="G107" s="22" t="n">
        <v>91966</v>
      </c>
      <c r="H107" s="22" t="n">
        <v>203704</v>
      </c>
      <c r="I107" s="22" t="n">
        <v>1595723</v>
      </c>
      <c r="J107" s="22" t="n">
        <v>9412203</v>
      </c>
      <c r="K107" s="18" t="n">
        <f aca="false">C107+D107+E107+G107+H107+I107</f>
        <v>9412203</v>
      </c>
      <c r="L107" s="23" t="n">
        <f aca="false">K107-J107</f>
        <v>0</v>
      </c>
    </row>
    <row r="108" customFormat="false" ht="15" hidden="false" customHeight="false" outlineLevel="0" collapsed="false">
      <c r="A108" s="6" t="s">
        <v>406</v>
      </c>
      <c r="B108" s="6" t="s">
        <v>394</v>
      </c>
      <c r="C108" s="22" t="n">
        <v>5170168</v>
      </c>
      <c r="D108" s="22" t="n">
        <v>1186198</v>
      </c>
      <c r="E108" s="22" t="n">
        <v>206861</v>
      </c>
      <c r="F108" s="9" t="n">
        <v>0.03</v>
      </c>
      <c r="G108" s="22" t="n">
        <v>835049</v>
      </c>
      <c r="H108" s="22" t="n">
        <v>232357</v>
      </c>
      <c r="I108" s="22" t="n">
        <v>1806896</v>
      </c>
      <c r="J108" s="22" t="n">
        <v>9437529</v>
      </c>
      <c r="K108" s="18" t="n">
        <f aca="false">C108+D108+E108+G108+H108+I108</f>
        <v>9437529</v>
      </c>
      <c r="L108" s="23" t="n">
        <f aca="false">K108-J108</f>
        <v>0</v>
      </c>
    </row>
    <row r="109" customFormat="false" ht="15" hidden="false" customHeight="false" outlineLevel="0" collapsed="false">
      <c r="A109" s="6" t="s">
        <v>407</v>
      </c>
      <c r="B109" s="6" t="s">
        <v>408</v>
      </c>
      <c r="C109" s="22" t="n">
        <v>274135</v>
      </c>
      <c r="D109" s="22" t="n">
        <v>2010215</v>
      </c>
      <c r="E109" s="22" t="n">
        <v>0</v>
      </c>
      <c r="F109" s="9" t="n">
        <v>0</v>
      </c>
      <c r="G109" s="22" t="n">
        <v>2946241</v>
      </c>
      <c r="H109" s="22" t="n">
        <v>2392468</v>
      </c>
      <c r="I109" s="22" t="n">
        <v>9502129</v>
      </c>
      <c r="J109" s="22" t="n">
        <v>17125188</v>
      </c>
      <c r="K109" s="18" t="n">
        <f aca="false">C109+D109+E109+G109+H109+I109</f>
        <v>17125188</v>
      </c>
      <c r="L109" s="23" t="n">
        <f aca="false">K109-J109</f>
        <v>0</v>
      </c>
    </row>
    <row r="110" customFormat="false" ht="15" hidden="false" customHeight="false" outlineLevel="0" collapsed="false">
      <c r="A110" s="6" t="s">
        <v>409</v>
      </c>
      <c r="B110" s="6" t="s">
        <v>408</v>
      </c>
      <c r="C110" s="22" t="n">
        <v>6645989</v>
      </c>
      <c r="D110" s="22" t="n">
        <v>3953057</v>
      </c>
      <c r="E110" s="22" t="n">
        <v>0</v>
      </c>
      <c r="F110" s="9" t="n">
        <v>0</v>
      </c>
      <c r="G110" s="22" t="n">
        <v>92311</v>
      </c>
      <c r="H110" s="22" t="n">
        <v>46725</v>
      </c>
      <c r="I110" s="22" t="n">
        <v>1126604</v>
      </c>
      <c r="J110" s="22" t="n">
        <v>11864686</v>
      </c>
      <c r="K110" s="18" t="n">
        <f aca="false">C110+D110+E110+G110+H110+I110</f>
        <v>11864686</v>
      </c>
      <c r="L110" s="23" t="n">
        <f aca="false">K110-J110</f>
        <v>0</v>
      </c>
    </row>
    <row r="111" customFormat="false" ht="15" hidden="false" customHeight="false" outlineLevel="0" collapsed="false">
      <c r="A111" s="6" t="s">
        <v>410</v>
      </c>
      <c r="B111" s="6" t="s">
        <v>408</v>
      </c>
      <c r="C111" s="22" t="n">
        <v>4904357</v>
      </c>
      <c r="D111" s="22" t="n">
        <v>465579</v>
      </c>
      <c r="E111" s="22" t="n">
        <v>0</v>
      </c>
      <c r="F111" s="9" t="n">
        <v>0</v>
      </c>
      <c r="G111" s="22" t="n">
        <v>219324</v>
      </c>
      <c r="H111" s="22" t="n">
        <v>265660</v>
      </c>
      <c r="I111" s="22" t="n">
        <v>1201336</v>
      </c>
      <c r="J111" s="22" t="n">
        <v>7056256</v>
      </c>
      <c r="K111" s="18" t="n">
        <f aca="false">C111+D111+E111+G111+H111+I111</f>
        <v>7056256</v>
      </c>
      <c r="L111" s="23" t="n">
        <f aca="false">K111-J111</f>
        <v>0</v>
      </c>
    </row>
    <row r="112" customFormat="false" ht="15" hidden="false" customHeight="false" outlineLevel="0" collapsed="false">
      <c r="A112" s="6" t="s">
        <v>411</v>
      </c>
      <c r="B112" s="6" t="s">
        <v>408</v>
      </c>
      <c r="C112" s="22" t="n">
        <v>3436547</v>
      </c>
      <c r="D112" s="22" t="n">
        <v>110551</v>
      </c>
      <c r="E112" s="22" t="n">
        <v>232964</v>
      </c>
      <c r="F112" s="9" t="n">
        <v>0.03</v>
      </c>
      <c r="G112" s="22" t="n">
        <v>424691</v>
      </c>
      <c r="H112" s="22" t="n">
        <v>254920</v>
      </c>
      <c r="I112" s="22" t="n">
        <v>1218830</v>
      </c>
      <c r="J112" s="22" t="n">
        <v>5678503</v>
      </c>
      <c r="K112" s="18" t="n">
        <f aca="false">C112+D112+E112+G112+H112+I112</f>
        <v>5678503</v>
      </c>
      <c r="L112" s="23" t="n">
        <f aca="false">K112-J112</f>
        <v>0</v>
      </c>
    </row>
    <row r="113" customFormat="false" ht="15" hidden="false" customHeight="false" outlineLevel="0" collapsed="false">
      <c r="A113" s="6" t="s">
        <v>408</v>
      </c>
      <c r="B113" s="6" t="s">
        <v>408</v>
      </c>
      <c r="C113" s="22" t="n">
        <v>2523642</v>
      </c>
      <c r="D113" s="22" t="n">
        <v>21318</v>
      </c>
      <c r="E113" s="22" t="n">
        <v>5700806</v>
      </c>
      <c r="F113" s="9" t="n">
        <v>0.045</v>
      </c>
      <c r="G113" s="22" t="n">
        <v>1121916</v>
      </c>
      <c r="H113" s="22" t="n">
        <v>2469309</v>
      </c>
      <c r="I113" s="22" t="n">
        <v>11483196</v>
      </c>
      <c r="J113" s="22" t="n">
        <v>23320187</v>
      </c>
      <c r="K113" s="18" t="n">
        <f aca="false">C113+D113+E113+G113+H113+I113</f>
        <v>23320187</v>
      </c>
      <c r="L113" s="23" t="n">
        <f aca="false">K113-J113</f>
        <v>0</v>
      </c>
    </row>
    <row r="114" customFormat="false" ht="15" hidden="false" customHeight="false" outlineLevel="0" collapsed="false">
      <c r="A114" s="6" t="s">
        <v>412</v>
      </c>
      <c r="B114" s="6" t="s">
        <v>408</v>
      </c>
      <c r="C114" s="22" t="n">
        <v>426502</v>
      </c>
      <c r="D114" s="22" t="n">
        <v>989667</v>
      </c>
      <c r="E114" s="22" t="n">
        <v>683219</v>
      </c>
      <c r="F114" s="9" t="n">
        <v>0.02</v>
      </c>
      <c r="G114" s="22" t="n">
        <v>1339687</v>
      </c>
      <c r="H114" s="22" t="n">
        <v>988915</v>
      </c>
      <c r="I114" s="22" t="n">
        <v>4095737</v>
      </c>
      <c r="J114" s="22" t="n">
        <v>8523727</v>
      </c>
      <c r="K114" s="18" t="n">
        <f aca="false">C114+D114+E114+G114+H114+I114</f>
        <v>8523727</v>
      </c>
      <c r="L114" s="23" t="n">
        <f aca="false">K114-J114</f>
        <v>0</v>
      </c>
    </row>
    <row r="115" customFormat="false" ht="15" hidden="false" customHeight="false" outlineLevel="0" collapsed="false">
      <c r="A115" s="6" t="s">
        <v>413</v>
      </c>
      <c r="B115" s="6" t="s">
        <v>408</v>
      </c>
      <c r="C115" s="22" t="n">
        <v>0</v>
      </c>
      <c r="D115" s="22" t="n">
        <v>870126</v>
      </c>
      <c r="E115" s="22" t="n">
        <v>0</v>
      </c>
      <c r="F115" s="9" t="n">
        <v>0</v>
      </c>
      <c r="G115" s="22" t="n">
        <v>1439479</v>
      </c>
      <c r="H115" s="22" t="n">
        <v>801227</v>
      </c>
      <c r="I115" s="22" t="n">
        <v>4699338</v>
      </c>
      <c r="J115" s="22" t="n">
        <v>7810170</v>
      </c>
      <c r="K115" s="18" t="n">
        <f aca="false">C115+D115+E115+G115+H115+I115</f>
        <v>7810170</v>
      </c>
      <c r="L115" s="23" t="n">
        <f aca="false">K115-J115</f>
        <v>0</v>
      </c>
    </row>
    <row r="116" customFormat="false" ht="15" hidden="false" customHeight="false" outlineLevel="0" collapsed="false">
      <c r="A116" s="6" t="s">
        <v>414</v>
      </c>
      <c r="B116" s="6" t="s">
        <v>408</v>
      </c>
      <c r="C116" s="22" t="n">
        <v>0</v>
      </c>
      <c r="D116" s="22" t="n">
        <v>3312661</v>
      </c>
      <c r="E116" s="22" t="n">
        <v>0</v>
      </c>
      <c r="F116" s="9" t="n">
        <v>0</v>
      </c>
      <c r="G116" s="22" t="n">
        <v>2448207</v>
      </c>
      <c r="H116" s="22" t="n">
        <v>1571645</v>
      </c>
      <c r="I116" s="22" t="n">
        <v>14415630</v>
      </c>
      <c r="J116" s="22" t="n">
        <v>21748143</v>
      </c>
      <c r="K116" s="18" t="n">
        <f aca="false">C116+D116+E116+G116+H116+I116</f>
        <v>21748143</v>
      </c>
      <c r="L116" s="23" t="n">
        <f aca="false">K116-J116</f>
        <v>0</v>
      </c>
    </row>
    <row r="117" customFormat="false" ht="15" hidden="false" customHeight="false" outlineLevel="0" collapsed="false">
      <c r="A117" s="6" t="s">
        <v>415</v>
      </c>
      <c r="B117" s="6" t="s">
        <v>408</v>
      </c>
      <c r="C117" s="22" t="n">
        <v>8010782</v>
      </c>
      <c r="D117" s="22" t="n">
        <v>1917341</v>
      </c>
      <c r="E117" s="22" t="n">
        <v>98058</v>
      </c>
      <c r="F117" s="9" t="n">
        <v>0.025</v>
      </c>
      <c r="G117" s="22" t="n">
        <v>439984</v>
      </c>
      <c r="H117" s="22" t="n">
        <v>168728</v>
      </c>
      <c r="I117" s="22" t="n">
        <v>1289766</v>
      </c>
      <c r="J117" s="22" t="n">
        <v>11924659</v>
      </c>
      <c r="K117" s="18" t="n">
        <f aca="false">C117+D117+E117+G117+H117+I117</f>
        <v>11924659</v>
      </c>
      <c r="L117" s="23" t="n">
        <f aca="false">K117-J117</f>
        <v>0</v>
      </c>
    </row>
    <row r="118" customFormat="false" ht="15" hidden="false" customHeight="false" outlineLevel="0" collapsed="false">
      <c r="A118" s="6" t="s">
        <v>416</v>
      </c>
      <c r="B118" s="6" t="s">
        <v>408</v>
      </c>
      <c r="C118" s="22" t="n">
        <v>5982151</v>
      </c>
      <c r="D118" s="22" t="n">
        <v>768727</v>
      </c>
      <c r="E118" s="22" t="n">
        <v>1885986</v>
      </c>
      <c r="F118" s="9" t="n">
        <v>0.04</v>
      </c>
      <c r="G118" s="22" t="n">
        <v>592618</v>
      </c>
      <c r="H118" s="22" t="n">
        <v>1817623</v>
      </c>
      <c r="I118" s="22" t="n">
        <v>10722651</v>
      </c>
      <c r="J118" s="22" t="n">
        <v>21769756</v>
      </c>
      <c r="K118" s="18" t="n">
        <f aca="false">C118+D118+E118+G118+H118+I118</f>
        <v>21769756</v>
      </c>
      <c r="L118" s="23" t="n">
        <f aca="false">K118-J118</f>
        <v>0</v>
      </c>
    </row>
    <row r="119" customFormat="false" ht="15" hidden="false" customHeight="false" outlineLevel="0" collapsed="false">
      <c r="A119" s="6" t="s">
        <v>417</v>
      </c>
      <c r="B119" s="6" t="s">
        <v>408</v>
      </c>
      <c r="C119" s="22" t="n">
        <v>0</v>
      </c>
      <c r="D119" s="22" t="n">
        <v>1013503</v>
      </c>
      <c r="E119" s="22" t="n">
        <v>2826683</v>
      </c>
      <c r="F119" s="9" t="n">
        <v>0.035</v>
      </c>
      <c r="G119" s="22" t="n">
        <v>1247952</v>
      </c>
      <c r="H119" s="22" t="n">
        <v>2406264</v>
      </c>
      <c r="I119" s="22" t="n">
        <v>9605578</v>
      </c>
      <c r="J119" s="22" t="n">
        <v>17099980</v>
      </c>
      <c r="K119" s="18" t="n">
        <f aca="false">C119+D119+E119+G119+H119+I119</f>
        <v>17099980</v>
      </c>
      <c r="L119" s="23" t="n">
        <f aca="false">K119-J119</f>
        <v>0</v>
      </c>
    </row>
    <row r="120" customFormat="false" ht="15" hidden="false" customHeight="false" outlineLevel="0" collapsed="false">
      <c r="A120" s="6" t="s">
        <v>418</v>
      </c>
      <c r="B120" s="6" t="s">
        <v>408</v>
      </c>
      <c r="C120" s="22" t="n">
        <v>3187585</v>
      </c>
      <c r="D120" s="22" t="n">
        <v>717616</v>
      </c>
      <c r="E120" s="22" t="n">
        <v>686670</v>
      </c>
      <c r="F120" s="9" t="n">
        <v>0.05</v>
      </c>
      <c r="G120" s="22" t="n">
        <v>227870</v>
      </c>
      <c r="H120" s="22" t="n">
        <v>499289</v>
      </c>
      <c r="I120" s="22" t="n">
        <v>2125939</v>
      </c>
      <c r="J120" s="22" t="n">
        <v>7444969</v>
      </c>
      <c r="K120" s="18" t="n">
        <f aca="false">C120+D120+E120+G120+H120+I120</f>
        <v>7444969</v>
      </c>
      <c r="L120" s="23" t="n">
        <f aca="false">K120-J120</f>
        <v>0</v>
      </c>
    </row>
    <row r="121" customFormat="false" ht="15" hidden="false" customHeight="false" outlineLevel="0" collapsed="false">
      <c r="A121" s="6" t="s">
        <v>419</v>
      </c>
      <c r="B121" s="6" t="s">
        <v>408</v>
      </c>
      <c r="C121" s="22" t="n">
        <v>8347171</v>
      </c>
      <c r="D121" s="22" t="n">
        <v>855316</v>
      </c>
      <c r="E121" s="22" t="n">
        <v>1987790</v>
      </c>
      <c r="F121" s="9" t="n">
        <v>0.05</v>
      </c>
      <c r="G121" s="22" t="n">
        <v>715156</v>
      </c>
      <c r="H121" s="22" t="n">
        <v>1509052</v>
      </c>
      <c r="I121" s="22" t="n">
        <v>6998589</v>
      </c>
      <c r="J121" s="22" t="n">
        <v>20413074</v>
      </c>
      <c r="K121" s="18" t="n">
        <f aca="false">C121+D121+E121+G121+H121+I121</f>
        <v>20413074</v>
      </c>
      <c r="L121" s="23" t="n">
        <f aca="false">K121-J121</f>
        <v>0</v>
      </c>
    </row>
    <row r="122" customFormat="false" ht="15" hidden="false" customHeight="false" outlineLevel="0" collapsed="false">
      <c r="A122" s="6" t="s">
        <v>420</v>
      </c>
      <c r="B122" s="6" t="s">
        <v>408</v>
      </c>
      <c r="C122" s="22" t="n">
        <v>5828195</v>
      </c>
      <c r="D122" s="22" t="n">
        <v>650750</v>
      </c>
      <c r="E122" s="22" t="n">
        <v>859654</v>
      </c>
      <c r="F122" s="9" t="n">
        <v>0.025</v>
      </c>
      <c r="G122" s="22" t="n">
        <v>672903</v>
      </c>
      <c r="H122" s="22" t="n">
        <v>919453</v>
      </c>
      <c r="I122" s="22" t="n">
        <v>3942833</v>
      </c>
      <c r="J122" s="22" t="n">
        <v>12873788</v>
      </c>
      <c r="K122" s="18" t="n">
        <f aca="false">C122+D122+E122+G122+H122+I122</f>
        <v>12873788</v>
      </c>
      <c r="L122" s="23" t="n">
        <f aca="false">K122-J122</f>
        <v>0</v>
      </c>
    </row>
    <row r="123" customFormat="false" ht="15" hidden="false" customHeight="false" outlineLevel="0" collapsed="false">
      <c r="A123" s="6" t="s">
        <v>421</v>
      </c>
      <c r="B123" s="6" t="s">
        <v>408</v>
      </c>
      <c r="C123" s="22" t="n">
        <v>3024068</v>
      </c>
      <c r="D123" s="22" t="n">
        <v>333772</v>
      </c>
      <c r="E123" s="22" t="n">
        <v>0</v>
      </c>
      <c r="F123" s="9" t="n">
        <v>0</v>
      </c>
      <c r="G123" s="22" t="n">
        <v>332418</v>
      </c>
      <c r="H123" s="22" t="n">
        <v>189833</v>
      </c>
      <c r="I123" s="22" t="n">
        <v>1219844</v>
      </c>
      <c r="J123" s="22" t="n">
        <v>5099935</v>
      </c>
      <c r="K123" s="18" t="n">
        <f aca="false">C123+D123+E123+G123+H123+I123</f>
        <v>5099935</v>
      </c>
      <c r="L123" s="23" t="n">
        <f aca="false">K123-J123</f>
        <v>0</v>
      </c>
    </row>
    <row r="124" customFormat="false" ht="15" hidden="false" customHeight="false" outlineLevel="0" collapsed="false">
      <c r="A124" s="6" t="s">
        <v>422</v>
      </c>
      <c r="B124" s="6" t="s">
        <v>408</v>
      </c>
      <c r="C124" s="22" t="n">
        <v>1586027</v>
      </c>
      <c r="D124" s="22" t="n">
        <v>218161</v>
      </c>
      <c r="E124" s="22" t="n">
        <v>916544</v>
      </c>
      <c r="F124" s="9" t="n">
        <v>0.05</v>
      </c>
      <c r="G124" s="22" t="n">
        <v>508320</v>
      </c>
      <c r="H124" s="22" t="n">
        <v>779939</v>
      </c>
      <c r="I124" s="22" t="n">
        <v>3835441</v>
      </c>
      <c r="J124" s="22" t="n">
        <v>7844432</v>
      </c>
      <c r="K124" s="18" t="n">
        <f aca="false">C124+D124+E124+G124+H124+I124</f>
        <v>7844432</v>
      </c>
      <c r="L124" s="23" t="n">
        <f aca="false">K124-J124</f>
        <v>0</v>
      </c>
    </row>
    <row r="125" customFormat="false" ht="15" hidden="false" customHeight="false" outlineLevel="0" collapsed="false">
      <c r="A125" s="6" t="s">
        <v>423</v>
      </c>
      <c r="B125" s="6" t="s">
        <v>424</v>
      </c>
      <c r="C125" s="22" t="n">
        <v>5945968</v>
      </c>
      <c r="D125" s="22" t="n">
        <v>3013820</v>
      </c>
      <c r="E125" s="22" t="n">
        <v>0</v>
      </c>
      <c r="F125" s="9" t="n">
        <v>0</v>
      </c>
      <c r="G125" s="22" t="n">
        <v>102099</v>
      </c>
      <c r="H125" s="22" t="n">
        <v>149411</v>
      </c>
      <c r="I125" s="22" t="n">
        <v>1346951</v>
      </c>
      <c r="J125" s="22" t="n">
        <v>10558249</v>
      </c>
      <c r="K125" s="18" t="n">
        <f aca="false">C125+D125+E125+G125+H125+I125</f>
        <v>10558249</v>
      </c>
      <c r="L125" s="23" t="n">
        <f aca="false">K125-J125</f>
        <v>0</v>
      </c>
    </row>
    <row r="126" customFormat="false" ht="15" hidden="false" customHeight="false" outlineLevel="0" collapsed="false">
      <c r="A126" s="6" t="s">
        <v>425</v>
      </c>
      <c r="B126" s="6" t="s">
        <v>424</v>
      </c>
      <c r="C126" s="22" t="n">
        <v>7710436</v>
      </c>
      <c r="D126" s="22" t="n">
        <v>5084871</v>
      </c>
      <c r="E126" s="22" t="n">
        <v>0</v>
      </c>
      <c r="F126" s="9" t="n">
        <v>0</v>
      </c>
      <c r="G126" s="22" t="n">
        <v>97736</v>
      </c>
      <c r="H126" s="22" t="n">
        <v>140154</v>
      </c>
      <c r="I126" s="22" t="n">
        <v>1447623</v>
      </c>
      <c r="J126" s="22" t="n">
        <v>14480820</v>
      </c>
      <c r="K126" s="18" t="n">
        <f aca="false">C126+D126+E126+G126+H126+I126</f>
        <v>14480820</v>
      </c>
      <c r="L126" s="23" t="n">
        <f aca="false">K126-J126</f>
        <v>0</v>
      </c>
    </row>
    <row r="127" customFormat="false" ht="15" hidden="false" customHeight="false" outlineLevel="0" collapsed="false">
      <c r="A127" s="6" t="s">
        <v>426</v>
      </c>
      <c r="B127" s="6" t="s">
        <v>424</v>
      </c>
      <c r="C127" s="22" t="n">
        <v>6908051</v>
      </c>
      <c r="D127" s="22" t="n">
        <v>2732531</v>
      </c>
      <c r="E127" s="22" t="n">
        <v>137530</v>
      </c>
      <c r="F127" s="9" t="n">
        <v>0.03</v>
      </c>
      <c r="G127" s="22" t="n">
        <v>107418</v>
      </c>
      <c r="H127" s="22" t="n">
        <v>174605</v>
      </c>
      <c r="I127" s="22" t="n">
        <v>1319609</v>
      </c>
      <c r="J127" s="22" t="n">
        <v>11379744</v>
      </c>
      <c r="K127" s="18" t="n">
        <f aca="false">C127+D127+E127+G127+H127+I127</f>
        <v>11379744</v>
      </c>
      <c r="L127" s="23" t="n">
        <f aca="false">K127-J127</f>
        <v>0</v>
      </c>
    </row>
    <row r="128" customFormat="false" ht="15" hidden="false" customHeight="false" outlineLevel="0" collapsed="false">
      <c r="A128" s="6" t="s">
        <v>427</v>
      </c>
      <c r="B128" s="6" t="s">
        <v>424</v>
      </c>
      <c r="C128" s="22" t="n">
        <v>7658614</v>
      </c>
      <c r="D128" s="22" t="n">
        <v>4036430</v>
      </c>
      <c r="E128" s="22" t="n">
        <v>0</v>
      </c>
      <c r="F128" s="9" t="n">
        <v>0</v>
      </c>
      <c r="G128" s="22" t="n">
        <v>98395</v>
      </c>
      <c r="H128" s="22" t="n">
        <v>131409</v>
      </c>
      <c r="I128" s="22" t="n">
        <v>1221060</v>
      </c>
      <c r="J128" s="22" t="n">
        <v>13145908</v>
      </c>
      <c r="K128" s="18" t="n">
        <f aca="false">C128+D128+E128+G128+H128+I128</f>
        <v>13145908</v>
      </c>
      <c r="L128" s="23" t="n">
        <f aca="false">K128-J128</f>
        <v>0</v>
      </c>
    </row>
    <row r="129" customFormat="false" ht="15" hidden="false" customHeight="false" outlineLevel="0" collapsed="false">
      <c r="A129" s="6" t="s">
        <v>428</v>
      </c>
      <c r="B129" s="6" t="s">
        <v>424</v>
      </c>
      <c r="C129" s="22" t="n">
        <v>4436408</v>
      </c>
      <c r="D129" s="22" t="n">
        <v>2642479</v>
      </c>
      <c r="E129" s="22" t="n">
        <v>132173</v>
      </c>
      <c r="F129" s="9" t="n">
        <v>0.05</v>
      </c>
      <c r="G129" s="22" t="n">
        <v>76958</v>
      </c>
      <c r="H129" s="22" t="n">
        <v>139609</v>
      </c>
      <c r="I129" s="22" t="n">
        <v>1025817</v>
      </c>
      <c r="J129" s="22" t="n">
        <v>8453444</v>
      </c>
      <c r="K129" s="18" t="n">
        <f aca="false">C129+D129+E129+G129+H129+I129</f>
        <v>8453444</v>
      </c>
      <c r="L129" s="23" t="n">
        <f aca="false">K129-J129</f>
        <v>0</v>
      </c>
    </row>
    <row r="130" customFormat="false" ht="15" hidden="false" customHeight="false" outlineLevel="0" collapsed="false">
      <c r="A130" s="6" t="s">
        <v>429</v>
      </c>
      <c r="B130" s="6" t="s">
        <v>424</v>
      </c>
      <c r="C130" s="22" t="n">
        <v>8761229</v>
      </c>
      <c r="D130" s="22" t="n">
        <v>3169721</v>
      </c>
      <c r="E130" s="22" t="n">
        <v>339595</v>
      </c>
      <c r="F130" s="9" t="n">
        <v>0.04</v>
      </c>
      <c r="G130" s="22" t="n">
        <v>143921</v>
      </c>
      <c r="H130" s="22" t="n">
        <v>338655</v>
      </c>
      <c r="I130" s="22" t="n">
        <v>2316800</v>
      </c>
      <c r="J130" s="22" t="n">
        <v>15069921</v>
      </c>
      <c r="K130" s="18" t="n">
        <f aca="false">C130+D130+E130+G130+H130+I130</f>
        <v>15069921</v>
      </c>
      <c r="L130" s="23" t="n">
        <f aca="false">K130-J130</f>
        <v>0</v>
      </c>
    </row>
    <row r="131" customFormat="false" ht="15" hidden="false" customHeight="false" outlineLevel="0" collapsed="false">
      <c r="A131" s="6" t="s">
        <v>424</v>
      </c>
      <c r="B131" s="6" t="s">
        <v>424</v>
      </c>
      <c r="C131" s="22" t="n">
        <v>14932395</v>
      </c>
      <c r="D131" s="22" t="n">
        <v>6204821</v>
      </c>
      <c r="E131" s="22" t="n">
        <v>2012895</v>
      </c>
      <c r="F131" s="9" t="n">
        <v>0.038</v>
      </c>
      <c r="G131" s="22" t="n">
        <v>329225</v>
      </c>
      <c r="H131" s="22" t="n">
        <v>1153105</v>
      </c>
      <c r="I131" s="22" t="n">
        <v>6982695</v>
      </c>
      <c r="J131" s="22" t="n">
        <v>31615136</v>
      </c>
      <c r="K131" s="18" t="n">
        <f aca="false">C131+D131+E131+G131+H131+I131</f>
        <v>31615136</v>
      </c>
      <c r="L131" s="23" t="n">
        <f aca="false">K131-J131</f>
        <v>0</v>
      </c>
    </row>
    <row r="132" customFormat="false" ht="15" hidden="false" customHeight="false" outlineLevel="0" collapsed="false">
      <c r="A132" s="6" t="s">
        <v>430</v>
      </c>
      <c r="B132" s="6" t="s">
        <v>424</v>
      </c>
      <c r="C132" s="22" t="n">
        <v>3877679</v>
      </c>
      <c r="D132" s="22" t="n">
        <v>2587682</v>
      </c>
      <c r="E132" s="22" t="n">
        <v>0</v>
      </c>
      <c r="F132" s="9" t="n">
        <v>0</v>
      </c>
      <c r="G132" s="22" t="n">
        <v>94288</v>
      </c>
      <c r="H132" s="22" t="n">
        <v>62634</v>
      </c>
      <c r="I132" s="22" t="n">
        <v>716563</v>
      </c>
      <c r="J132" s="22" t="n">
        <v>7338846</v>
      </c>
      <c r="K132" s="18" t="n">
        <f aca="false">C132+D132+E132+G132+H132+I132</f>
        <v>7338846</v>
      </c>
      <c r="L132" s="23" t="n">
        <f aca="false">K132-J132</f>
        <v>0</v>
      </c>
    </row>
    <row r="133" customFormat="false" ht="15" hidden="false" customHeight="false" outlineLevel="0" collapsed="false">
      <c r="A133" s="6" t="s">
        <v>431</v>
      </c>
      <c r="B133" s="6" t="s">
        <v>424</v>
      </c>
      <c r="C133" s="22" t="n">
        <v>5530414</v>
      </c>
      <c r="D133" s="22" t="n">
        <v>3449161</v>
      </c>
      <c r="E133" s="22" t="n">
        <v>150291</v>
      </c>
      <c r="F133" s="9" t="n">
        <v>0.05</v>
      </c>
      <c r="G133" s="22" t="n">
        <v>95709</v>
      </c>
      <c r="H133" s="22" t="n">
        <v>116927</v>
      </c>
      <c r="I133" s="22" t="n">
        <v>1042916</v>
      </c>
      <c r="J133" s="22" t="n">
        <v>10385418</v>
      </c>
      <c r="K133" s="18" t="n">
        <f aca="false">C133+D133+E133+G133+H133+I133</f>
        <v>10385418</v>
      </c>
      <c r="L133" s="23" t="n">
        <f aca="false">K133-J133</f>
        <v>0</v>
      </c>
    </row>
    <row r="134" customFormat="false" ht="15" hidden="false" customHeight="false" outlineLevel="0" collapsed="false">
      <c r="A134" s="6" t="s">
        <v>432</v>
      </c>
      <c r="B134" s="6" t="s">
        <v>424</v>
      </c>
      <c r="C134" s="22" t="n">
        <v>9023405</v>
      </c>
      <c r="D134" s="22" t="n">
        <v>3943284</v>
      </c>
      <c r="E134" s="22" t="n">
        <v>294570</v>
      </c>
      <c r="F134" s="9" t="n">
        <v>0.05</v>
      </c>
      <c r="G134" s="22" t="n">
        <v>131364</v>
      </c>
      <c r="H134" s="22" t="n">
        <v>200441</v>
      </c>
      <c r="I134" s="22" t="n">
        <v>1758749</v>
      </c>
      <c r="J134" s="22" t="n">
        <v>15351813</v>
      </c>
      <c r="K134" s="18" t="n">
        <f aca="false">C134+D134+E134+G134+H134+I134</f>
        <v>15351813</v>
      </c>
      <c r="L134" s="23" t="n">
        <f aca="false">K134-J134</f>
        <v>0</v>
      </c>
    </row>
    <row r="135" customFormat="false" ht="15" hidden="false" customHeight="false" outlineLevel="0" collapsed="false">
      <c r="A135" s="6" t="s">
        <v>433</v>
      </c>
      <c r="B135" s="6" t="s">
        <v>424</v>
      </c>
      <c r="C135" s="22" t="n">
        <v>13920241</v>
      </c>
      <c r="D135" s="22" t="n">
        <v>4899496</v>
      </c>
      <c r="E135" s="22" t="n">
        <v>0</v>
      </c>
      <c r="F135" s="9" t="n">
        <v>0</v>
      </c>
      <c r="G135" s="22" t="n">
        <v>112434</v>
      </c>
      <c r="H135" s="22" t="n">
        <v>210886</v>
      </c>
      <c r="I135" s="22" t="n">
        <v>1438311</v>
      </c>
      <c r="J135" s="22" t="n">
        <v>20581368</v>
      </c>
      <c r="K135" s="18" t="n">
        <f aca="false">C135+D135+E135+G135+H135+I135</f>
        <v>20581368</v>
      </c>
      <c r="L135" s="23" t="n">
        <f aca="false">K135-J135</f>
        <v>0</v>
      </c>
    </row>
    <row r="136" customFormat="false" ht="15" hidden="false" customHeight="false" outlineLevel="0" collapsed="false">
      <c r="A136" s="6" t="s">
        <v>434</v>
      </c>
      <c r="B136" s="6" t="s">
        <v>424</v>
      </c>
      <c r="C136" s="22" t="n">
        <v>12634265</v>
      </c>
      <c r="D136" s="22" t="n">
        <v>4673507</v>
      </c>
      <c r="E136" s="22" t="n">
        <v>389507</v>
      </c>
      <c r="F136" s="9" t="n">
        <v>0.025</v>
      </c>
      <c r="G136" s="22" t="n">
        <v>218853</v>
      </c>
      <c r="H136" s="22" t="n">
        <v>587184</v>
      </c>
      <c r="I136" s="22" t="n">
        <v>3423352</v>
      </c>
      <c r="J136" s="22" t="n">
        <v>21926668</v>
      </c>
      <c r="K136" s="18" t="n">
        <f aca="false">C136+D136+E136+G136+H136+I136</f>
        <v>21926668</v>
      </c>
      <c r="L136" s="23" t="n">
        <f aca="false">K136-J136</f>
        <v>0</v>
      </c>
    </row>
    <row r="137" customFormat="false" ht="15" hidden="false" customHeight="false" outlineLevel="0" collapsed="false">
      <c r="A137" s="6" t="s">
        <v>435</v>
      </c>
      <c r="B137" s="6" t="s">
        <v>424</v>
      </c>
      <c r="C137" s="22" t="n">
        <v>8592170</v>
      </c>
      <c r="D137" s="22" t="n">
        <v>3180208</v>
      </c>
      <c r="E137" s="22" t="n">
        <v>0</v>
      </c>
      <c r="F137" s="9" t="n">
        <v>0</v>
      </c>
      <c r="G137" s="22" t="n">
        <v>101995</v>
      </c>
      <c r="H137" s="22" t="n">
        <v>196984</v>
      </c>
      <c r="I137" s="22" t="n">
        <v>2231962</v>
      </c>
      <c r="J137" s="22" t="n">
        <v>14303319</v>
      </c>
      <c r="K137" s="18" t="n">
        <f aca="false">C137+D137+E137+G137+H137+I137</f>
        <v>14303319</v>
      </c>
      <c r="L137" s="23" t="n">
        <f aca="false">K137-J137</f>
        <v>0</v>
      </c>
    </row>
    <row r="138" customFormat="false" ht="15" hidden="false" customHeight="false" outlineLevel="0" collapsed="false">
      <c r="A138" s="6" t="s">
        <v>436</v>
      </c>
      <c r="B138" s="6" t="s">
        <v>424</v>
      </c>
      <c r="C138" s="22" t="n">
        <v>6473830</v>
      </c>
      <c r="D138" s="22" t="n">
        <v>3784712</v>
      </c>
      <c r="E138" s="22" t="n">
        <v>213118</v>
      </c>
      <c r="F138" s="9" t="n">
        <v>0.05</v>
      </c>
      <c r="G138" s="22" t="n">
        <v>93220</v>
      </c>
      <c r="H138" s="22" t="n">
        <v>151536</v>
      </c>
      <c r="I138" s="22" t="n">
        <v>2026127</v>
      </c>
      <c r="J138" s="22" t="n">
        <v>12742543</v>
      </c>
      <c r="K138" s="18" t="n">
        <f aca="false">C138+D138+E138+G138+H138+I138</f>
        <v>12742543</v>
      </c>
      <c r="L138" s="23" t="n">
        <f aca="false">K138-J138</f>
        <v>0</v>
      </c>
    </row>
    <row r="139" customFormat="false" ht="15" hidden="false" customHeight="false" outlineLevel="0" collapsed="false">
      <c r="A139" s="6" t="s">
        <v>437</v>
      </c>
      <c r="B139" s="6" t="s">
        <v>438</v>
      </c>
      <c r="C139" s="22" t="n">
        <v>7917404</v>
      </c>
      <c r="D139" s="22" t="n">
        <v>7894516</v>
      </c>
      <c r="E139" s="22" t="n">
        <v>1260781</v>
      </c>
      <c r="F139" s="9" t="n">
        <v>0.022</v>
      </c>
      <c r="G139" s="22" t="n">
        <v>581297</v>
      </c>
      <c r="H139" s="22" t="n">
        <v>1719283</v>
      </c>
      <c r="I139" s="22" t="n">
        <v>7227060</v>
      </c>
      <c r="J139" s="22" t="n">
        <v>26600341</v>
      </c>
      <c r="K139" s="18" t="n">
        <f aca="false">C139+D139+E139+G139+H139+I139</f>
        <v>26600341</v>
      </c>
      <c r="L139" s="23" t="n">
        <f aca="false">K139-J139</f>
        <v>0</v>
      </c>
    </row>
    <row r="140" customFormat="false" ht="15" hidden="false" customHeight="false" outlineLevel="0" collapsed="false">
      <c r="A140" s="6" t="s">
        <v>439</v>
      </c>
      <c r="B140" s="6" t="s">
        <v>438</v>
      </c>
      <c r="C140" s="22" t="n">
        <v>5912074</v>
      </c>
      <c r="D140" s="22" t="n">
        <v>1956596</v>
      </c>
      <c r="E140" s="22" t="n">
        <v>106920</v>
      </c>
      <c r="F140" s="9" t="n">
        <v>0.025</v>
      </c>
      <c r="G140" s="22" t="n">
        <v>99552</v>
      </c>
      <c r="H140" s="22" t="n">
        <v>168310</v>
      </c>
      <c r="I140" s="22" t="n">
        <v>1058821</v>
      </c>
      <c r="J140" s="22" t="n">
        <v>9302273</v>
      </c>
      <c r="K140" s="18" t="n">
        <f aca="false">C140+D140+E140+G140+H140+I140</f>
        <v>9302273</v>
      </c>
      <c r="L140" s="23" t="n">
        <f aca="false">K140-J140</f>
        <v>0</v>
      </c>
    </row>
    <row r="141" customFormat="false" ht="15" hidden="false" customHeight="false" outlineLevel="0" collapsed="false">
      <c r="A141" s="6" t="s">
        <v>440</v>
      </c>
      <c r="B141" s="6" t="s">
        <v>438</v>
      </c>
      <c r="C141" s="22" t="n">
        <v>7151789</v>
      </c>
      <c r="D141" s="22" t="n">
        <v>2056594</v>
      </c>
      <c r="E141" s="22" t="n">
        <v>89271</v>
      </c>
      <c r="F141" s="9" t="n">
        <v>0.01</v>
      </c>
      <c r="G141" s="22" t="n">
        <v>142096</v>
      </c>
      <c r="H141" s="22" t="n">
        <v>398966</v>
      </c>
      <c r="I141" s="22" t="n">
        <v>1992409</v>
      </c>
      <c r="J141" s="22" t="n">
        <v>11831125</v>
      </c>
      <c r="K141" s="18" t="n">
        <f aca="false">C141+D141+E141+G141+H141+I141</f>
        <v>11831125</v>
      </c>
      <c r="L141" s="23" t="n">
        <f aca="false">K141-J141</f>
        <v>0</v>
      </c>
    </row>
    <row r="142" customFormat="false" ht="15" hidden="false" customHeight="false" outlineLevel="0" collapsed="false">
      <c r="A142" s="6" t="s">
        <v>441</v>
      </c>
      <c r="B142" s="6" t="s">
        <v>438</v>
      </c>
      <c r="C142" s="22" t="n">
        <v>4101404</v>
      </c>
      <c r="D142" s="22" t="n">
        <v>2700522</v>
      </c>
      <c r="E142" s="22" t="n">
        <v>700115</v>
      </c>
      <c r="F142" s="9" t="n">
        <v>0.04</v>
      </c>
      <c r="G142" s="22" t="n">
        <v>222707</v>
      </c>
      <c r="H142" s="22" t="n">
        <v>604599</v>
      </c>
      <c r="I142" s="22" t="n">
        <v>2812795</v>
      </c>
      <c r="J142" s="22" t="n">
        <v>11142142</v>
      </c>
      <c r="K142" s="18" t="n">
        <f aca="false">C142+D142+E142+G142+H142+I142</f>
        <v>11142142</v>
      </c>
      <c r="L142" s="23" t="n">
        <f aca="false">K142-J142</f>
        <v>0</v>
      </c>
    </row>
    <row r="143" customFormat="false" ht="15" hidden="false" customHeight="false" outlineLevel="0" collapsed="false">
      <c r="A143" s="6" t="s">
        <v>442</v>
      </c>
      <c r="B143" s="6" t="s">
        <v>438</v>
      </c>
      <c r="C143" s="22" t="n">
        <v>3690788</v>
      </c>
      <c r="D143" s="22" t="n">
        <v>1919848</v>
      </c>
      <c r="E143" s="22" t="n">
        <v>451127</v>
      </c>
      <c r="F143" s="9" t="n">
        <v>0.035</v>
      </c>
      <c r="G143" s="22" t="n">
        <v>147910</v>
      </c>
      <c r="H143" s="22" t="n">
        <v>505774</v>
      </c>
      <c r="I143" s="22" t="n">
        <v>1955980</v>
      </c>
      <c r="J143" s="22" t="n">
        <v>8671427</v>
      </c>
      <c r="K143" s="18" t="n">
        <f aca="false">C143+D143+E143+G143+H143+I143</f>
        <v>8671427</v>
      </c>
      <c r="L143" s="23" t="n">
        <f aca="false">K143-J143</f>
        <v>0</v>
      </c>
    </row>
    <row r="144" customFormat="false" ht="15" hidden="false" customHeight="false" outlineLevel="0" collapsed="false">
      <c r="A144" s="6" t="s">
        <v>443</v>
      </c>
      <c r="B144" s="6" t="s">
        <v>438</v>
      </c>
      <c r="C144" s="22" t="n">
        <v>5359397</v>
      </c>
      <c r="D144" s="22" t="n">
        <v>3362880</v>
      </c>
      <c r="E144" s="22" t="n">
        <v>1356559</v>
      </c>
      <c r="F144" s="9" t="n">
        <v>0.02</v>
      </c>
      <c r="G144" s="22" t="n">
        <v>636055</v>
      </c>
      <c r="H144" s="22" t="n">
        <v>1909770</v>
      </c>
      <c r="I144" s="22" t="n">
        <v>7122121</v>
      </c>
      <c r="J144" s="22" t="n">
        <v>19746782</v>
      </c>
      <c r="K144" s="18" t="n">
        <f aca="false">C144+D144+E144+G144+H144+I144</f>
        <v>19746782</v>
      </c>
      <c r="L144" s="23" t="n">
        <f aca="false">K144-J144</f>
        <v>0</v>
      </c>
    </row>
    <row r="145" customFormat="false" ht="15" hidden="false" customHeight="false" outlineLevel="0" collapsed="false">
      <c r="A145" s="6" t="s">
        <v>444</v>
      </c>
      <c r="B145" s="6" t="s">
        <v>438</v>
      </c>
      <c r="C145" s="22" t="n">
        <v>3130222</v>
      </c>
      <c r="D145" s="22" t="n">
        <v>2101698</v>
      </c>
      <c r="E145" s="22" t="n">
        <v>0</v>
      </c>
      <c r="F145" s="9" t="n">
        <v>0</v>
      </c>
      <c r="G145" s="22" t="n">
        <v>74140</v>
      </c>
      <c r="H145" s="22" t="n">
        <v>85647</v>
      </c>
      <c r="I145" s="22" t="n">
        <v>949548</v>
      </c>
      <c r="J145" s="22" t="n">
        <v>6341255</v>
      </c>
      <c r="K145" s="18" t="n">
        <f aca="false">C145+D145+E145+G145+H145+I145</f>
        <v>6341255</v>
      </c>
      <c r="L145" s="23" t="n">
        <f aca="false">K145-J145</f>
        <v>0</v>
      </c>
    </row>
    <row r="146" customFormat="false" ht="15" hidden="false" customHeight="false" outlineLevel="0" collapsed="false">
      <c r="A146" s="6" t="s">
        <v>445</v>
      </c>
      <c r="B146" s="6" t="s">
        <v>438</v>
      </c>
      <c r="C146" s="22" t="n">
        <v>4645406</v>
      </c>
      <c r="D146" s="22" t="n">
        <v>2985722</v>
      </c>
      <c r="E146" s="22" t="n">
        <v>122341</v>
      </c>
      <c r="F146" s="9" t="n">
        <v>0.03</v>
      </c>
      <c r="G146" s="22" t="n">
        <v>85512</v>
      </c>
      <c r="H146" s="22" t="n">
        <v>140053</v>
      </c>
      <c r="I146" s="22" t="n">
        <v>1740715</v>
      </c>
      <c r="J146" s="22" t="n">
        <v>9719749</v>
      </c>
      <c r="K146" s="18" t="n">
        <f aca="false">C146+D146+E146+G146+H146+I146</f>
        <v>9719749</v>
      </c>
      <c r="L146" s="23" t="n">
        <f aca="false">K146-J146</f>
        <v>0</v>
      </c>
    </row>
    <row r="147" customFormat="false" ht="15" hidden="false" customHeight="false" outlineLevel="0" collapsed="false">
      <c r="A147" s="6" t="s">
        <v>438</v>
      </c>
      <c r="B147" s="6" t="s">
        <v>438</v>
      </c>
      <c r="C147" s="22" t="n">
        <v>10794787</v>
      </c>
      <c r="D147" s="22" t="n">
        <v>8040329</v>
      </c>
      <c r="E147" s="22" t="n">
        <v>9401333</v>
      </c>
      <c r="F147" s="9" t="n">
        <v>0.05</v>
      </c>
      <c r="G147" s="22" t="n">
        <v>1280921</v>
      </c>
      <c r="H147" s="22" t="n">
        <v>4483084</v>
      </c>
      <c r="I147" s="22" t="n">
        <v>15456008</v>
      </c>
      <c r="J147" s="22" t="n">
        <v>49456462</v>
      </c>
      <c r="K147" s="18" t="n">
        <f aca="false">C147+D147+E147+G147+H147+I147</f>
        <v>49456462</v>
      </c>
      <c r="L147" s="23" t="n">
        <f aca="false">K147-J147</f>
        <v>0</v>
      </c>
    </row>
    <row r="148" customFormat="false" ht="15" hidden="false" customHeight="false" outlineLevel="0" collapsed="false">
      <c r="A148" s="6" t="s">
        <v>446</v>
      </c>
      <c r="B148" s="6" t="s">
        <v>438</v>
      </c>
      <c r="C148" s="22" t="n">
        <v>6044350</v>
      </c>
      <c r="D148" s="22" t="n">
        <v>2508249</v>
      </c>
      <c r="E148" s="22" t="n">
        <v>2437437</v>
      </c>
      <c r="F148" s="9" t="n">
        <v>0.05</v>
      </c>
      <c r="G148" s="22" t="n">
        <v>386127</v>
      </c>
      <c r="H148" s="22" t="n">
        <v>1603933</v>
      </c>
      <c r="I148" s="22" t="n">
        <v>5725856</v>
      </c>
      <c r="J148" s="22" t="n">
        <v>18705952</v>
      </c>
      <c r="K148" s="18" t="n">
        <f aca="false">C148+D148+E148+G148+H148+I148</f>
        <v>18705952</v>
      </c>
      <c r="L148" s="23" t="n">
        <f aca="false">K148-J148</f>
        <v>0</v>
      </c>
    </row>
    <row r="149" customFormat="false" ht="15" hidden="false" customHeight="false" outlineLevel="0" collapsed="false">
      <c r="A149" s="6" t="s">
        <v>447</v>
      </c>
      <c r="B149" s="6" t="s">
        <v>438</v>
      </c>
      <c r="C149" s="22" t="n">
        <v>2727073</v>
      </c>
      <c r="D149" s="22" t="n">
        <v>548153</v>
      </c>
      <c r="E149" s="22" t="n">
        <v>736711</v>
      </c>
      <c r="F149" s="9" t="n">
        <v>0.05</v>
      </c>
      <c r="G149" s="22" t="n">
        <v>332388</v>
      </c>
      <c r="H149" s="22" t="n">
        <v>541417</v>
      </c>
      <c r="I149" s="22" t="n">
        <v>1712449</v>
      </c>
      <c r="J149" s="22" t="n">
        <v>6598191</v>
      </c>
      <c r="K149" s="18" t="n">
        <f aca="false">C149+D149+E149+G149+H149+I149</f>
        <v>6598191</v>
      </c>
      <c r="L149" s="23" t="n">
        <f aca="false">K149-J149</f>
        <v>0</v>
      </c>
    </row>
    <row r="150" customFormat="false" ht="15" hidden="false" customHeight="false" outlineLevel="0" collapsed="false">
      <c r="A150" s="6" t="s">
        <v>448</v>
      </c>
      <c r="B150" s="6" t="s">
        <v>438</v>
      </c>
      <c r="C150" s="22" t="n">
        <v>2027253</v>
      </c>
      <c r="D150" s="22" t="n">
        <v>346961</v>
      </c>
      <c r="E150" s="22" t="n">
        <v>161528</v>
      </c>
      <c r="F150" s="9" t="n">
        <v>0.01</v>
      </c>
      <c r="G150" s="22" t="n">
        <v>298872</v>
      </c>
      <c r="H150" s="22" t="n">
        <v>457946</v>
      </c>
      <c r="I150" s="22" t="n">
        <v>2532157</v>
      </c>
      <c r="J150" s="22" t="n">
        <v>5824717</v>
      </c>
      <c r="K150" s="18" t="n">
        <f aca="false">C150+D150+E150+G150+H150+I150</f>
        <v>5824717</v>
      </c>
      <c r="L150" s="23" t="n">
        <f aca="false">K150-J150</f>
        <v>0</v>
      </c>
    </row>
    <row r="151" customFormat="false" ht="15" hidden="false" customHeight="false" outlineLevel="0" collapsed="false">
      <c r="A151" s="6" t="s">
        <v>449</v>
      </c>
      <c r="B151" s="6" t="s">
        <v>438</v>
      </c>
      <c r="C151" s="22" t="n">
        <v>3874989</v>
      </c>
      <c r="D151" s="22" t="n">
        <v>2619512</v>
      </c>
      <c r="E151" s="22" t="n">
        <v>25215</v>
      </c>
      <c r="F151" s="9" t="n">
        <v>0.01</v>
      </c>
      <c r="G151" s="22" t="n">
        <v>81460</v>
      </c>
      <c r="H151" s="22" t="n">
        <v>98352</v>
      </c>
      <c r="I151" s="22" t="n">
        <v>906565</v>
      </c>
      <c r="J151" s="22" t="n">
        <v>7606093</v>
      </c>
      <c r="K151" s="18" t="n">
        <f aca="false">C151+D151+E151+G151+H151+I151</f>
        <v>7606093</v>
      </c>
      <c r="L151" s="23" t="n">
        <f aca="false">K151-J151</f>
        <v>0</v>
      </c>
    </row>
    <row r="152" customFormat="false" ht="15" hidden="false" customHeight="false" outlineLevel="0" collapsed="false">
      <c r="A152" s="6" t="s">
        <v>450</v>
      </c>
      <c r="B152" s="6" t="s">
        <v>438</v>
      </c>
      <c r="C152" s="22" t="n">
        <v>4026619</v>
      </c>
      <c r="D152" s="22" t="n">
        <v>2213872</v>
      </c>
      <c r="E152" s="22" t="n">
        <v>831662</v>
      </c>
      <c r="F152" s="9" t="n">
        <v>0.03</v>
      </c>
      <c r="G152" s="22" t="n">
        <v>422920</v>
      </c>
      <c r="H152" s="22" t="n">
        <v>1052795</v>
      </c>
      <c r="I152" s="22" t="n">
        <v>4428601</v>
      </c>
      <c r="J152" s="22" t="n">
        <v>12976469</v>
      </c>
      <c r="K152" s="18" t="n">
        <f aca="false">C152+D152+E152+G152+H152+I152</f>
        <v>12976469</v>
      </c>
      <c r="L152" s="23" t="n">
        <f aca="false">K152-J152</f>
        <v>0</v>
      </c>
    </row>
    <row r="153" customFormat="false" ht="15" hidden="false" customHeight="false" outlineLevel="0" collapsed="false">
      <c r="A153" s="6" t="s">
        <v>451</v>
      </c>
      <c r="B153" s="6" t="s">
        <v>438</v>
      </c>
      <c r="C153" s="22" t="n">
        <v>13273694</v>
      </c>
      <c r="D153" s="22" t="n">
        <v>6557055</v>
      </c>
      <c r="E153" s="22" t="n">
        <v>1191345</v>
      </c>
      <c r="F153" s="9" t="n">
        <v>0.025</v>
      </c>
      <c r="G153" s="22" t="n">
        <v>500965</v>
      </c>
      <c r="H153" s="22" t="n">
        <v>1711616</v>
      </c>
      <c r="I153" s="22" t="n">
        <v>5772622</v>
      </c>
      <c r="J153" s="22" t="n">
        <v>29007297</v>
      </c>
      <c r="K153" s="18" t="n">
        <f aca="false">C153+D153+E153+G153+H153+I153</f>
        <v>29007297</v>
      </c>
      <c r="L153" s="23" t="n">
        <f aca="false">K153-J153</f>
        <v>0</v>
      </c>
    </row>
    <row r="154" customFormat="false" ht="15" hidden="false" customHeight="false" outlineLevel="0" collapsed="false">
      <c r="A154" s="6" t="s">
        <v>452</v>
      </c>
      <c r="B154" s="6" t="s">
        <v>438</v>
      </c>
      <c r="C154" s="22" t="n">
        <v>9020741</v>
      </c>
      <c r="D154" s="22" t="n">
        <v>2803108</v>
      </c>
      <c r="E154" s="22" t="n">
        <v>588187</v>
      </c>
      <c r="F154" s="9" t="n">
        <v>0.025</v>
      </c>
      <c r="G154" s="22" t="n">
        <v>218767</v>
      </c>
      <c r="H154" s="22" t="n">
        <v>776439</v>
      </c>
      <c r="I154" s="22" t="n">
        <v>4507751</v>
      </c>
      <c r="J154" s="22" t="n">
        <v>17914993</v>
      </c>
      <c r="K154" s="18" t="n">
        <f aca="false">C154+D154+E154+G154+H154+I154</f>
        <v>17914993</v>
      </c>
      <c r="L154" s="23" t="n">
        <f aca="false">K154-J154</f>
        <v>0</v>
      </c>
    </row>
    <row r="155" customFormat="false" ht="15" hidden="false" customHeight="false" outlineLevel="0" collapsed="false">
      <c r="A155" s="6" t="s">
        <v>453</v>
      </c>
      <c r="B155" s="6" t="s">
        <v>454</v>
      </c>
      <c r="C155" s="22" t="n">
        <v>6647639</v>
      </c>
      <c r="D155" s="22" t="n">
        <v>2772102</v>
      </c>
      <c r="E155" s="22" t="n">
        <v>2496027</v>
      </c>
      <c r="F155" s="9" t="n">
        <v>0.047</v>
      </c>
      <c r="G155" s="22" t="n">
        <v>411193</v>
      </c>
      <c r="H155" s="22" t="n">
        <v>1793514</v>
      </c>
      <c r="I155" s="22" t="n">
        <v>6303426</v>
      </c>
      <c r="J155" s="22" t="n">
        <v>20423901</v>
      </c>
      <c r="K155" s="18" t="n">
        <f aca="false">C155+D155+E155+G155+H155+I155</f>
        <v>20423901</v>
      </c>
      <c r="L155" s="23" t="n">
        <f aca="false">K155-J155</f>
        <v>0</v>
      </c>
    </row>
    <row r="156" customFormat="false" ht="15" hidden="false" customHeight="false" outlineLevel="0" collapsed="false">
      <c r="A156" s="6" t="s">
        <v>455</v>
      </c>
      <c r="B156" s="6" t="s">
        <v>454</v>
      </c>
      <c r="C156" s="22" t="n">
        <v>16018151</v>
      </c>
      <c r="D156" s="22" t="n">
        <v>8566898</v>
      </c>
      <c r="E156" s="22" t="n">
        <v>8514717</v>
      </c>
      <c r="F156" s="9" t="n">
        <v>0.035</v>
      </c>
      <c r="G156" s="22" t="n">
        <v>1327301</v>
      </c>
      <c r="H156" s="22" t="n">
        <v>5784465</v>
      </c>
      <c r="I156" s="22" t="n">
        <v>23365672</v>
      </c>
      <c r="J156" s="22" t="n">
        <v>63577204</v>
      </c>
      <c r="K156" s="18" t="n">
        <f aca="false">C156+D156+E156+G156+H156+I156</f>
        <v>63577204</v>
      </c>
      <c r="L156" s="23" t="n">
        <f aca="false">K156-J156</f>
        <v>0</v>
      </c>
    </row>
    <row r="157" customFormat="false" ht="15" hidden="false" customHeight="false" outlineLevel="0" collapsed="false">
      <c r="A157" s="6" t="s">
        <v>456</v>
      </c>
      <c r="B157" s="6" t="s">
        <v>454</v>
      </c>
      <c r="C157" s="22" t="n">
        <v>3453668</v>
      </c>
      <c r="D157" s="22" t="n">
        <v>1715112</v>
      </c>
      <c r="E157" s="22" t="n">
        <v>1001892</v>
      </c>
      <c r="F157" s="9" t="n">
        <v>0.037</v>
      </c>
      <c r="G157" s="22" t="n">
        <v>198190</v>
      </c>
      <c r="H157" s="22" t="n">
        <v>347398</v>
      </c>
      <c r="I157" s="22" t="n">
        <v>1554312</v>
      </c>
      <c r="J157" s="22" t="n">
        <v>8270572</v>
      </c>
      <c r="K157" s="18" t="n">
        <f aca="false">C157+D157+E157+G157+H157+I157</f>
        <v>8270572</v>
      </c>
      <c r="L157" s="23" t="n">
        <f aca="false">K157-J157</f>
        <v>0</v>
      </c>
    </row>
    <row r="158" customFormat="false" ht="15" hidden="false" customHeight="false" outlineLevel="0" collapsed="false">
      <c r="A158" s="6" t="s">
        <v>457</v>
      </c>
      <c r="B158" s="6" t="s">
        <v>454</v>
      </c>
      <c r="C158" s="22" t="n">
        <v>4780336</v>
      </c>
      <c r="D158" s="22" t="n">
        <v>2213484</v>
      </c>
      <c r="E158" s="22" t="n">
        <v>1119313</v>
      </c>
      <c r="F158" s="9" t="n">
        <v>0.05</v>
      </c>
      <c r="G158" s="22" t="n">
        <v>194030</v>
      </c>
      <c r="H158" s="22" t="n">
        <v>862770</v>
      </c>
      <c r="I158" s="22" t="n">
        <v>3720570</v>
      </c>
      <c r="J158" s="22" t="n">
        <v>12890503</v>
      </c>
      <c r="K158" s="18" t="n">
        <f aca="false">C158+D158+E158+G158+H158+I158</f>
        <v>12890503</v>
      </c>
      <c r="L158" s="23" t="n">
        <f aca="false">K158-J158</f>
        <v>0</v>
      </c>
    </row>
    <row r="159" customFormat="false" ht="15" hidden="false" customHeight="false" outlineLevel="0" collapsed="false">
      <c r="A159" s="6" t="s">
        <v>458</v>
      </c>
      <c r="B159" s="6" t="s">
        <v>454</v>
      </c>
      <c r="C159" s="22" t="n">
        <v>5934988</v>
      </c>
      <c r="D159" s="22" t="n">
        <v>1936811</v>
      </c>
      <c r="E159" s="22" t="n">
        <v>142930</v>
      </c>
      <c r="F159" s="9" t="n">
        <v>0.01</v>
      </c>
      <c r="G159" s="22" t="n">
        <v>532648</v>
      </c>
      <c r="H159" s="22" t="n">
        <v>437114</v>
      </c>
      <c r="I159" s="22" t="n">
        <v>1952427</v>
      </c>
      <c r="J159" s="22" t="n">
        <v>10936918</v>
      </c>
      <c r="K159" s="18" t="n">
        <f aca="false">C159+D159+E159+G159+H159+I159</f>
        <v>10936918</v>
      </c>
      <c r="L159" s="23" t="n">
        <f aca="false">K159-J159</f>
        <v>0</v>
      </c>
    </row>
    <row r="160" customFormat="false" ht="15" hidden="false" customHeight="false" outlineLevel="0" collapsed="false">
      <c r="A160" s="6" t="s">
        <v>459</v>
      </c>
      <c r="B160" s="6" t="s">
        <v>454</v>
      </c>
      <c r="C160" s="22" t="n">
        <v>0</v>
      </c>
      <c r="D160" s="22" t="n">
        <v>0</v>
      </c>
      <c r="E160" s="22" t="n">
        <v>25556192</v>
      </c>
      <c r="F160" s="9" t="n">
        <v>0.045</v>
      </c>
      <c r="G160" s="22" t="n">
        <v>6519788</v>
      </c>
      <c r="H160" s="22" t="n">
        <v>1556217</v>
      </c>
      <c r="I160" s="22" t="n">
        <v>22006998</v>
      </c>
      <c r="J160" s="22" t="n">
        <v>55639195</v>
      </c>
      <c r="K160" s="18" t="n">
        <f aca="false">C160+D160+E160+G160+H160+I160</f>
        <v>55639195</v>
      </c>
      <c r="L160" s="23" t="n">
        <f aca="false">K160-J160</f>
        <v>0</v>
      </c>
    </row>
    <row r="161" customFormat="false" ht="15" hidden="false" customHeight="false" outlineLevel="0" collapsed="false">
      <c r="A161" s="6" t="s">
        <v>454</v>
      </c>
      <c r="B161" s="6" t="s">
        <v>454</v>
      </c>
      <c r="C161" s="22" t="n">
        <v>0</v>
      </c>
      <c r="D161" s="22" t="n">
        <v>1509318</v>
      </c>
      <c r="E161" s="22" t="n">
        <v>0</v>
      </c>
      <c r="F161" s="9" t="n">
        <v>0</v>
      </c>
      <c r="G161" s="22" t="n">
        <v>15306195</v>
      </c>
      <c r="H161" s="22" t="n">
        <v>0</v>
      </c>
      <c r="I161" s="22" t="n">
        <v>55309760</v>
      </c>
      <c r="J161" s="22" t="n">
        <v>72125273</v>
      </c>
      <c r="K161" s="18" t="n">
        <f aca="false">C161+D161+E161+G161+H161+I161</f>
        <v>72125273</v>
      </c>
      <c r="L161" s="23" t="n">
        <f aca="false">K161-J161</f>
        <v>0</v>
      </c>
    </row>
    <row r="162" customFormat="false" ht="15" hidden="false" customHeight="false" outlineLevel="0" collapsed="false">
      <c r="A162" s="6" t="s">
        <v>460</v>
      </c>
      <c r="B162" s="6" t="s">
        <v>454</v>
      </c>
      <c r="C162" s="22" t="n">
        <v>11461363</v>
      </c>
      <c r="D162" s="22" t="n">
        <v>10194863</v>
      </c>
      <c r="E162" s="22" t="n">
        <v>15062916</v>
      </c>
      <c r="F162" s="9" t="n">
        <v>0.047</v>
      </c>
      <c r="G162" s="22" t="n">
        <v>2141301</v>
      </c>
      <c r="H162" s="22" t="n">
        <v>7637010</v>
      </c>
      <c r="I162" s="22" t="n">
        <v>33309826</v>
      </c>
      <c r="J162" s="22" t="n">
        <v>79807279</v>
      </c>
      <c r="K162" s="18" t="n">
        <f aca="false">C162+D162+E162+G162+H162+I162</f>
        <v>79807279</v>
      </c>
      <c r="L162" s="23" t="n">
        <f aca="false">K162-J162</f>
        <v>0</v>
      </c>
    </row>
    <row r="163" customFormat="false" ht="15" hidden="false" customHeight="false" outlineLevel="0" collapsed="false">
      <c r="A163" s="6" t="s">
        <v>461</v>
      </c>
      <c r="B163" s="6" t="s">
        <v>454</v>
      </c>
      <c r="C163" s="22" t="n">
        <v>4838105</v>
      </c>
      <c r="D163" s="22" t="n">
        <v>532549</v>
      </c>
      <c r="E163" s="22" t="n">
        <v>1081879</v>
      </c>
      <c r="F163" s="9" t="n">
        <v>0.035</v>
      </c>
      <c r="G163" s="22" t="n">
        <v>354260</v>
      </c>
      <c r="H163" s="22" t="n">
        <v>1082441</v>
      </c>
      <c r="I163" s="22" t="n">
        <v>4584444</v>
      </c>
      <c r="J163" s="22" t="n">
        <v>12473678</v>
      </c>
      <c r="K163" s="18" t="n">
        <f aca="false">C163+D163+E163+G163+H163+I163</f>
        <v>12473678</v>
      </c>
      <c r="L163" s="23" t="n">
        <f aca="false">K163-J163</f>
        <v>0</v>
      </c>
    </row>
    <row r="164" customFormat="false" ht="15" hidden="false" customHeight="false" outlineLevel="0" collapsed="false">
      <c r="A164" s="6" t="s">
        <v>462</v>
      </c>
      <c r="B164" s="6" t="s">
        <v>454</v>
      </c>
      <c r="C164" s="22" t="n">
        <v>82594</v>
      </c>
      <c r="D164" s="22" t="n">
        <v>22260</v>
      </c>
      <c r="E164" s="22" t="n">
        <v>7468582</v>
      </c>
      <c r="F164" s="9" t="n">
        <v>0.045</v>
      </c>
      <c r="G164" s="22" t="n">
        <v>2327222</v>
      </c>
      <c r="H164" s="22" t="n">
        <v>3446569</v>
      </c>
      <c r="I164" s="22" t="n">
        <v>14193770</v>
      </c>
      <c r="J164" s="22" t="n">
        <v>27540997</v>
      </c>
      <c r="K164" s="18" t="n">
        <f aca="false">C164+D164+E164+G164+H164+I164</f>
        <v>27540997</v>
      </c>
      <c r="L164" s="23" t="n">
        <f aca="false">K164-J164</f>
        <v>0</v>
      </c>
    </row>
    <row r="165" customFormat="false" ht="15" hidden="false" customHeight="false" outlineLevel="0" collapsed="false">
      <c r="A165" s="6" t="s">
        <v>463</v>
      </c>
      <c r="B165" s="6" t="s">
        <v>454</v>
      </c>
      <c r="C165" s="22" t="n">
        <v>8419545</v>
      </c>
      <c r="D165" s="22" t="n">
        <v>6402255</v>
      </c>
      <c r="E165" s="22" t="n">
        <v>11689628</v>
      </c>
      <c r="F165" s="9" t="n">
        <v>0.05</v>
      </c>
      <c r="G165" s="22" t="n">
        <v>1205501</v>
      </c>
      <c r="H165" s="22" t="n">
        <v>5952964</v>
      </c>
      <c r="I165" s="22" t="n">
        <v>20276140</v>
      </c>
      <c r="J165" s="22" t="n">
        <v>53946033</v>
      </c>
      <c r="K165" s="18" t="n">
        <f aca="false">C165+D165+E165+G165+H165+I165</f>
        <v>53946033</v>
      </c>
      <c r="L165" s="23" t="n">
        <f aca="false">K165-J165</f>
        <v>0</v>
      </c>
    </row>
    <row r="166" customFormat="false" ht="15" hidden="false" customHeight="false" outlineLevel="0" collapsed="false">
      <c r="A166" s="6" t="s">
        <v>464</v>
      </c>
      <c r="B166" s="6" t="s">
        <v>454</v>
      </c>
      <c r="C166" s="22" t="n">
        <v>0</v>
      </c>
      <c r="D166" s="22" t="n">
        <v>326621</v>
      </c>
      <c r="E166" s="22" t="n">
        <v>25491659</v>
      </c>
      <c r="F166" s="9" t="n">
        <v>0.047</v>
      </c>
      <c r="G166" s="22" t="n">
        <v>2994020</v>
      </c>
      <c r="H166" s="22" t="n">
        <v>1756901</v>
      </c>
      <c r="I166" s="22" t="n">
        <v>21828564</v>
      </c>
      <c r="J166" s="22" t="n">
        <v>52397765</v>
      </c>
      <c r="K166" s="18" t="n">
        <f aca="false">C166+D166+E166+G166+H166+I166</f>
        <v>52397765</v>
      </c>
      <c r="L166" s="23" t="n">
        <f aca="false">K166-J166</f>
        <v>0</v>
      </c>
    </row>
    <row r="167" customFormat="false" ht="15" hidden="false" customHeight="false" outlineLevel="0" collapsed="false">
      <c r="A167" s="6" t="s">
        <v>465</v>
      </c>
      <c r="B167" s="6" t="s">
        <v>454</v>
      </c>
      <c r="C167" s="22" t="n">
        <v>19558451</v>
      </c>
      <c r="D167" s="22" t="n">
        <v>15005159</v>
      </c>
      <c r="E167" s="22" t="n">
        <v>19029854</v>
      </c>
      <c r="F167" s="9" t="n">
        <v>0.035</v>
      </c>
      <c r="G167" s="22" t="n">
        <v>3258814</v>
      </c>
      <c r="H167" s="22" t="n">
        <v>13456933</v>
      </c>
      <c r="I167" s="22" t="n">
        <v>45957444</v>
      </c>
      <c r="J167" s="22" t="n">
        <v>116266655</v>
      </c>
      <c r="K167" s="18" t="n">
        <f aca="false">C167+D167+E167+G167+H167+I167</f>
        <v>116266655</v>
      </c>
      <c r="L167" s="23" t="n">
        <f aca="false">K167-J167</f>
        <v>0</v>
      </c>
    </row>
    <row r="168" customFormat="false" ht="15" hidden="false" customHeight="false" outlineLevel="0" collapsed="false">
      <c r="A168" s="6" t="s">
        <v>466</v>
      </c>
      <c r="B168" s="6" t="s">
        <v>454</v>
      </c>
      <c r="C168" s="22" t="n">
        <v>4337520</v>
      </c>
      <c r="D168" s="22" t="n">
        <v>1335760</v>
      </c>
      <c r="E168" s="22" t="n">
        <v>651541</v>
      </c>
      <c r="F168" s="9" t="n">
        <v>0.05</v>
      </c>
      <c r="G168" s="22" t="n">
        <v>184603</v>
      </c>
      <c r="H168" s="22" t="n">
        <v>477727</v>
      </c>
      <c r="I168" s="22" t="n">
        <v>1612463</v>
      </c>
      <c r="J168" s="22" t="n">
        <v>8599614</v>
      </c>
      <c r="K168" s="18" t="n">
        <f aca="false">C168+D168+E168+G168+H168+I168</f>
        <v>8599614</v>
      </c>
      <c r="L168" s="23" t="n">
        <f aca="false">K168-J168</f>
        <v>0</v>
      </c>
    </row>
    <row r="169" customFormat="false" ht="15" hidden="false" customHeight="false" outlineLevel="0" collapsed="false">
      <c r="A169" s="6" t="s">
        <v>467</v>
      </c>
      <c r="B169" s="6" t="s">
        <v>454</v>
      </c>
      <c r="C169" s="22" t="n">
        <v>8588776</v>
      </c>
      <c r="D169" s="22" t="n">
        <v>4201502</v>
      </c>
      <c r="E169" s="22" t="n">
        <v>4164128</v>
      </c>
      <c r="F169" s="9" t="n">
        <v>0.038</v>
      </c>
      <c r="G169" s="22" t="n">
        <v>858829</v>
      </c>
      <c r="H169" s="22" t="n">
        <v>2901737</v>
      </c>
      <c r="I169" s="22" t="n">
        <v>13475131</v>
      </c>
      <c r="J169" s="22" t="n">
        <v>34190103</v>
      </c>
      <c r="K169" s="18" t="n">
        <f aca="false">C169+D169+E169+G169+H169+I169</f>
        <v>34190103</v>
      </c>
      <c r="L169" s="23" t="n">
        <f aca="false">K169-J169</f>
        <v>0</v>
      </c>
    </row>
    <row r="170" customFormat="false" ht="15" hidden="false" customHeight="false" outlineLevel="0" collapsed="false">
      <c r="A170" s="6" t="s">
        <v>468</v>
      </c>
      <c r="B170" s="6" t="s">
        <v>454</v>
      </c>
      <c r="C170" s="22" t="n">
        <v>8013780</v>
      </c>
      <c r="D170" s="22" t="n">
        <v>5646463</v>
      </c>
      <c r="E170" s="22" t="n">
        <v>9088889</v>
      </c>
      <c r="F170" s="9" t="n">
        <v>0.045</v>
      </c>
      <c r="G170" s="22" t="n">
        <v>1085507</v>
      </c>
      <c r="H170" s="22" t="n">
        <v>5084271</v>
      </c>
      <c r="I170" s="22" t="n">
        <v>19152928</v>
      </c>
      <c r="J170" s="22" t="n">
        <v>48071838</v>
      </c>
      <c r="K170" s="18" t="n">
        <f aca="false">C170+D170+E170+G170+H170+I170</f>
        <v>48071838</v>
      </c>
      <c r="L170" s="23" t="n">
        <f aca="false">K170-J170</f>
        <v>0</v>
      </c>
    </row>
    <row r="171" customFormat="false" ht="15" hidden="false" customHeight="false" outlineLevel="0" collapsed="false">
      <c r="A171" s="6" t="s">
        <v>469</v>
      </c>
      <c r="B171" s="6" t="s">
        <v>470</v>
      </c>
      <c r="C171" s="22" t="n">
        <v>4491553</v>
      </c>
      <c r="D171" s="22" t="n">
        <v>2614250</v>
      </c>
      <c r="E171" s="22" t="n">
        <v>78760</v>
      </c>
      <c r="F171" s="9" t="n">
        <v>0.025</v>
      </c>
      <c r="G171" s="22" t="n">
        <v>78440</v>
      </c>
      <c r="H171" s="22" t="n">
        <v>113249</v>
      </c>
      <c r="I171" s="22" t="n">
        <v>1030493</v>
      </c>
      <c r="J171" s="22" t="n">
        <v>8406745</v>
      </c>
      <c r="K171" s="18" t="n">
        <f aca="false">C171+D171+E171+G171+H171+I171</f>
        <v>8406745</v>
      </c>
      <c r="L171" s="23" t="n">
        <f aca="false">K171-J171</f>
        <v>0</v>
      </c>
    </row>
    <row r="172" customFormat="false" ht="15" hidden="false" customHeight="false" outlineLevel="0" collapsed="false">
      <c r="A172" s="6" t="s">
        <v>471</v>
      </c>
      <c r="B172" s="6" t="s">
        <v>470</v>
      </c>
      <c r="C172" s="22" t="n">
        <v>5215809</v>
      </c>
      <c r="D172" s="22" t="n">
        <v>1815936</v>
      </c>
      <c r="E172" s="22" t="n">
        <v>0</v>
      </c>
      <c r="F172" s="9" t="n">
        <v>0</v>
      </c>
      <c r="G172" s="22" t="n">
        <v>78335</v>
      </c>
      <c r="H172" s="22" t="n">
        <v>105359</v>
      </c>
      <c r="I172" s="22" t="n">
        <v>953879</v>
      </c>
      <c r="J172" s="22" t="n">
        <v>8169318</v>
      </c>
      <c r="K172" s="18" t="n">
        <f aca="false">C172+D172+E172+G172+H172+I172</f>
        <v>8169318</v>
      </c>
      <c r="L172" s="23" t="n">
        <f aca="false">K172-J172</f>
        <v>0</v>
      </c>
    </row>
    <row r="173" customFormat="false" ht="15" hidden="false" customHeight="false" outlineLevel="0" collapsed="false">
      <c r="A173" s="6" t="s">
        <v>472</v>
      </c>
      <c r="B173" s="6" t="s">
        <v>470</v>
      </c>
      <c r="C173" s="22" t="n">
        <v>6788600</v>
      </c>
      <c r="D173" s="22" t="n">
        <v>2693852</v>
      </c>
      <c r="E173" s="22" t="n">
        <v>137344</v>
      </c>
      <c r="F173" s="9" t="n">
        <v>0.05</v>
      </c>
      <c r="G173" s="22" t="n">
        <v>84319</v>
      </c>
      <c r="H173" s="22" t="n">
        <v>125049</v>
      </c>
      <c r="I173" s="22" t="n">
        <v>762916</v>
      </c>
      <c r="J173" s="22" t="n">
        <v>10592080</v>
      </c>
      <c r="K173" s="18" t="n">
        <f aca="false">C173+D173+E173+G173+H173+I173</f>
        <v>10592080</v>
      </c>
      <c r="L173" s="23" t="n">
        <f aca="false">K173-J173</f>
        <v>0</v>
      </c>
    </row>
    <row r="174" customFormat="false" ht="15" hidden="false" customHeight="false" outlineLevel="0" collapsed="false">
      <c r="A174" s="6" t="s">
        <v>473</v>
      </c>
      <c r="B174" s="6" t="s">
        <v>470</v>
      </c>
      <c r="C174" s="22" t="n">
        <v>6680122</v>
      </c>
      <c r="D174" s="22" t="n">
        <v>1913118</v>
      </c>
      <c r="E174" s="22" t="n">
        <v>364907</v>
      </c>
      <c r="F174" s="9" t="n">
        <v>0.048</v>
      </c>
      <c r="G174" s="22" t="n">
        <v>101618</v>
      </c>
      <c r="H174" s="22" t="n">
        <v>347029</v>
      </c>
      <c r="I174" s="22" t="n">
        <v>1889073</v>
      </c>
      <c r="J174" s="22" t="n">
        <v>11295867</v>
      </c>
      <c r="K174" s="18" t="n">
        <f aca="false">C174+D174+E174+G174+H174+I174</f>
        <v>11295867</v>
      </c>
      <c r="L174" s="23" t="n">
        <f aca="false">K174-J174</f>
        <v>0</v>
      </c>
    </row>
    <row r="175" customFormat="false" ht="15" hidden="false" customHeight="false" outlineLevel="0" collapsed="false">
      <c r="A175" s="6" t="s">
        <v>474</v>
      </c>
      <c r="B175" s="6" t="s">
        <v>470</v>
      </c>
      <c r="C175" s="22" t="n">
        <v>5188101</v>
      </c>
      <c r="D175" s="22" t="n">
        <v>1812804</v>
      </c>
      <c r="E175" s="22" t="n">
        <v>84863</v>
      </c>
      <c r="F175" s="9" t="n">
        <v>0.025</v>
      </c>
      <c r="G175" s="22" t="n">
        <v>79396</v>
      </c>
      <c r="H175" s="22" t="n">
        <v>92909</v>
      </c>
      <c r="I175" s="22" t="n">
        <v>783158</v>
      </c>
      <c r="J175" s="22" t="n">
        <v>8041231</v>
      </c>
      <c r="K175" s="18" t="n">
        <f aca="false">C175+D175+E175+G175+H175+I175</f>
        <v>8041231</v>
      </c>
      <c r="L175" s="23" t="n">
        <f aca="false">K175-J175</f>
        <v>0</v>
      </c>
    </row>
    <row r="176" customFormat="false" ht="15" hidden="false" customHeight="false" outlineLevel="0" collapsed="false">
      <c r="A176" s="6" t="s">
        <v>475</v>
      </c>
      <c r="B176" s="6" t="s">
        <v>470</v>
      </c>
      <c r="C176" s="22" t="n">
        <v>5079812</v>
      </c>
      <c r="D176" s="22" t="n">
        <v>3413962</v>
      </c>
      <c r="E176" s="22" t="n">
        <v>122449</v>
      </c>
      <c r="F176" s="9" t="n">
        <v>0.045</v>
      </c>
      <c r="G176" s="22" t="n">
        <v>76151</v>
      </c>
      <c r="H176" s="22" t="n">
        <v>92447</v>
      </c>
      <c r="I176" s="22" t="n">
        <v>720221</v>
      </c>
      <c r="J176" s="22" t="n">
        <v>9505042</v>
      </c>
      <c r="K176" s="18" t="n">
        <f aca="false">C176+D176+E176+G176+H176+I176</f>
        <v>9505042</v>
      </c>
      <c r="L176" s="23" t="n">
        <f aca="false">K176-J176</f>
        <v>0</v>
      </c>
    </row>
    <row r="177" customFormat="false" ht="15" hidden="false" customHeight="false" outlineLevel="0" collapsed="false">
      <c r="A177" s="6" t="s">
        <v>476</v>
      </c>
      <c r="B177" s="6" t="s">
        <v>470</v>
      </c>
      <c r="C177" s="22" t="n">
        <v>11742413</v>
      </c>
      <c r="D177" s="22" t="n">
        <v>3513676</v>
      </c>
      <c r="E177" s="22" t="n">
        <v>835514</v>
      </c>
      <c r="F177" s="9" t="n">
        <v>0.04</v>
      </c>
      <c r="G177" s="22" t="n">
        <v>259873</v>
      </c>
      <c r="H177" s="22" t="n">
        <v>790573</v>
      </c>
      <c r="I177" s="22" t="n">
        <v>3724265</v>
      </c>
      <c r="J177" s="22" t="n">
        <v>20866314</v>
      </c>
      <c r="K177" s="18" t="n">
        <f aca="false">C177+D177+E177+G177+H177+I177</f>
        <v>20866314</v>
      </c>
      <c r="L177" s="23" t="n">
        <f aca="false">K177-J177</f>
        <v>0</v>
      </c>
    </row>
    <row r="178" customFormat="false" ht="15" hidden="false" customHeight="false" outlineLevel="0" collapsed="false">
      <c r="A178" s="6" t="s">
        <v>477</v>
      </c>
      <c r="B178" s="6" t="s">
        <v>470</v>
      </c>
      <c r="C178" s="22" t="n">
        <v>4251027</v>
      </c>
      <c r="D178" s="22" t="n">
        <v>1694956</v>
      </c>
      <c r="E178" s="22" t="n">
        <v>0</v>
      </c>
      <c r="F178" s="9" t="n">
        <v>0</v>
      </c>
      <c r="G178" s="22" t="n">
        <v>73172</v>
      </c>
      <c r="H178" s="22" t="n">
        <v>86139</v>
      </c>
      <c r="I178" s="22" t="n">
        <v>811276</v>
      </c>
      <c r="J178" s="22" t="n">
        <v>6916570</v>
      </c>
      <c r="K178" s="18" t="n">
        <f aca="false">C178+D178+E178+G178+H178+I178</f>
        <v>6916570</v>
      </c>
      <c r="L178" s="23" t="n">
        <f aca="false">K178-J178</f>
        <v>0</v>
      </c>
    </row>
    <row r="179" customFormat="false" ht="15" hidden="false" customHeight="false" outlineLevel="0" collapsed="false">
      <c r="A179" s="6" t="s">
        <v>478</v>
      </c>
      <c r="B179" s="6" t="s">
        <v>470</v>
      </c>
      <c r="C179" s="22" t="n">
        <v>4413587</v>
      </c>
      <c r="D179" s="22" t="n">
        <v>2543887</v>
      </c>
      <c r="E179" s="22" t="n">
        <v>0</v>
      </c>
      <c r="F179" s="9" t="n">
        <v>0</v>
      </c>
      <c r="G179" s="22" t="n">
        <v>79509</v>
      </c>
      <c r="H179" s="22" t="n">
        <v>106600</v>
      </c>
      <c r="I179" s="22" t="n">
        <v>747112</v>
      </c>
      <c r="J179" s="22" t="n">
        <v>7890695</v>
      </c>
      <c r="K179" s="18" t="n">
        <f aca="false">C179+D179+E179+G179+H179+I179</f>
        <v>7890695</v>
      </c>
      <c r="L179" s="23" t="n">
        <f aca="false">K179-J179</f>
        <v>0</v>
      </c>
    </row>
    <row r="180" customFormat="false" ht="15" hidden="false" customHeight="false" outlineLevel="0" collapsed="false">
      <c r="A180" s="6" t="s">
        <v>479</v>
      </c>
      <c r="B180" s="6" t="s">
        <v>470</v>
      </c>
      <c r="C180" s="22" t="n">
        <v>4637351</v>
      </c>
      <c r="D180" s="22" t="n">
        <v>1603551</v>
      </c>
      <c r="E180" s="22" t="n">
        <v>55024</v>
      </c>
      <c r="F180" s="9" t="n">
        <v>0.025</v>
      </c>
      <c r="G180" s="22" t="n">
        <v>88821</v>
      </c>
      <c r="H180" s="22" t="n">
        <v>69971</v>
      </c>
      <c r="I180" s="22" t="n">
        <v>965685</v>
      </c>
      <c r="J180" s="22" t="n">
        <v>7420403</v>
      </c>
      <c r="K180" s="18" t="n">
        <f aca="false">C180+D180+E180+G180+H180+I180</f>
        <v>7420403</v>
      </c>
      <c r="L180" s="23" t="n">
        <f aca="false">K180-J180</f>
        <v>0</v>
      </c>
    </row>
    <row r="181" customFormat="false" ht="15" hidden="false" customHeight="false" outlineLevel="0" collapsed="false">
      <c r="A181" s="6" t="s">
        <v>480</v>
      </c>
      <c r="B181" s="6" t="s">
        <v>470</v>
      </c>
      <c r="C181" s="22" t="n">
        <v>5120758</v>
      </c>
      <c r="D181" s="22" t="n">
        <v>2064568</v>
      </c>
      <c r="E181" s="22" t="n">
        <v>100627</v>
      </c>
      <c r="F181" s="9" t="n">
        <v>0.045</v>
      </c>
      <c r="G181" s="22" t="n">
        <v>80682</v>
      </c>
      <c r="H181" s="22" t="n">
        <v>110066</v>
      </c>
      <c r="I181" s="22" t="n">
        <v>903743</v>
      </c>
      <c r="J181" s="22" t="n">
        <v>8380444</v>
      </c>
      <c r="K181" s="18" t="n">
        <f aca="false">C181+D181+E181+G181+H181+I181</f>
        <v>8380444</v>
      </c>
      <c r="L181" s="23" t="n">
        <f aca="false">K181-J181</f>
        <v>0</v>
      </c>
    </row>
    <row r="182" customFormat="false" ht="15" hidden="false" customHeight="false" outlineLevel="0" collapsed="false">
      <c r="A182" s="6" t="s">
        <v>481</v>
      </c>
      <c r="B182" s="6" t="s">
        <v>470</v>
      </c>
      <c r="C182" s="22" t="n">
        <v>7894656</v>
      </c>
      <c r="D182" s="22" t="n">
        <v>3815752</v>
      </c>
      <c r="E182" s="22" t="n">
        <v>125907</v>
      </c>
      <c r="F182" s="9" t="n">
        <v>0.025</v>
      </c>
      <c r="G182" s="22" t="n">
        <v>109281</v>
      </c>
      <c r="H182" s="22" t="n">
        <v>147413</v>
      </c>
      <c r="I182" s="22" t="n">
        <v>917274</v>
      </c>
      <c r="J182" s="22" t="n">
        <v>13010283</v>
      </c>
      <c r="K182" s="18" t="n">
        <f aca="false">C182+D182+E182+G182+H182+I182</f>
        <v>13010283</v>
      </c>
      <c r="L182" s="23" t="n">
        <f aca="false">K182-J182</f>
        <v>0</v>
      </c>
    </row>
    <row r="183" customFormat="false" ht="15" hidden="false" customHeight="false" outlineLevel="0" collapsed="false">
      <c r="A183" s="6" t="s">
        <v>482</v>
      </c>
      <c r="B183" s="6" t="s">
        <v>470</v>
      </c>
      <c r="C183" s="22" t="n">
        <v>12048864</v>
      </c>
      <c r="D183" s="22" t="n">
        <v>3415535</v>
      </c>
      <c r="E183" s="22" t="n">
        <v>404349</v>
      </c>
      <c r="F183" s="9" t="n">
        <v>0.035</v>
      </c>
      <c r="G183" s="22" t="n">
        <v>175050</v>
      </c>
      <c r="H183" s="22" t="n">
        <v>539597</v>
      </c>
      <c r="I183" s="22" t="n">
        <v>3251116</v>
      </c>
      <c r="J183" s="22" t="n">
        <v>19834511</v>
      </c>
      <c r="K183" s="18" t="n">
        <f aca="false">C183+D183+E183+G183+H183+I183</f>
        <v>19834511</v>
      </c>
      <c r="L183" s="23" t="n">
        <f aca="false">K183-J183</f>
        <v>0</v>
      </c>
    </row>
    <row r="184" customFormat="false" ht="15" hidden="false" customHeight="false" outlineLevel="0" collapsed="false">
      <c r="A184" s="6" t="s">
        <v>470</v>
      </c>
      <c r="B184" s="6" t="s">
        <v>470</v>
      </c>
      <c r="C184" s="22" t="n">
        <v>9873978</v>
      </c>
      <c r="D184" s="22" t="n">
        <v>3659856</v>
      </c>
      <c r="E184" s="22" t="n">
        <v>976357</v>
      </c>
      <c r="F184" s="9" t="n">
        <v>0.033</v>
      </c>
      <c r="G184" s="22" t="n">
        <v>239507</v>
      </c>
      <c r="H184" s="22" t="n">
        <v>831386</v>
      </c>
      <c r="I184" s="22" t="n">
        <v>3844885</v>
      </c>
      <c r="J184" s="22" t="n">
        <v>19425969</v>
      </c>
      <c r="K184" s="18" t="n">
        <f aca="false">C184+D184+E184+G184+H184+I184</f>
        <v>19425969</v>
      </c>
      <c r="L184" s="23" t="n">
        <f aca="false">K184-J184</f>
        <v>0</v>
      </c>
    </row>
    <row r="185" customFormat="false" ht="15" hidden="false" customHeight="false" outlineLevel="0" collapsed="false">
      <c r="A185" s="6" t="s">
        <v>483</v>
      </c>
      <c r="B185" s="6" t="s">
        <v>470</v>
      </c>
      <c r="C185" s="22" t="n">
        <v>4898137</v>
      </c>
      <c r="D185" s="22" t="n">
        <v>1861686</v>
      </c>
      <c r="E185" s="22" t="n">
        <v>160092</v>
      </c>
      <c r="F185" s="9" t="n">
        <v>0.05</v>
      </c>
      <c r="G185" s="22" t="n">
        <v>97193</v>
      </c>
      <c r="H185" s="22" t="n">
        <v>142810</v>
      </c>
      <c r="I185" s="22" t="n">
        <v>1021245</v>
      </c>
      <c r="J185" s="22" t="n">
        <v>8181163</v>
      </c>
      <c r="K185" s="18" t="n">
        <f aca="false">C185+D185+E185+G185+H185+I185</f>
        <v>8181163</v>
      </c>
      <c r="L185" s="23" t="n">
        <f aca="false">K185-J185</f>
        <v>0</v>
      </c>
    </row>
    <row r="186" customFormat="false" ht="15" hidden="false" customHeight="false" outlineLevel="0" collapsed="false">
      <c r="A186" s="6" t="s">
        <v>484</v>
      </c>
      <c r="B186" s="6" t="s">
        <v>485</v>
      </c>
      <c r="C186" s="22" t="n">
        <v>21571416</v>
      </c>
      <c r="D186" s="22" t="n">
        <v>6451448</v>
      </c>
      <c r="E186" s="22" t="n">
        <v>2012229</v>
      </c>
      <c r="F186" s="9" t="n">
        <v>0.05</v>
      </c>
      <c r="G186" s="22" t="n">
        <v>429181</v>
      </c>
      <c r="H186" s="22" t="n">
        <v>1388846</v>
      </c>
      <c r="I186" s="22" t="n">
        <v>6286916</v>
      </c>
      <c r="J186" s="22" t="n">
        <v>38140036</v>
      </c>
      <c r="K186" s="18" t="n">
        <f aca="false">C186+D186+E186+G186+H186+I186</f>
        <v>38140036</v>
      </c>
      <c r="L186" s="23" t="n">
        <f aca="false">K186-J186</f>
        <v>0</v>
      </c>
    </row>
    <row r="187" customFormat="false" ht="15" hidden="false" customHeight="false" outlineLevel="0" collapsed="false">
      <c r="A187" s="6" t="s">
        <v>486</v>
      </c>
      <c r="B187" s="6" t="s">
        <v>485</v>
      </c>
      <c r="C187" s="22" t="n">
        <v>12392811</v>
      </c>
      <c r="D187" s="22" t="n">
        <v>3413118</v>
      </c>
      <c r="E187" s="22" t="n">
        <v>351212</v>
      </c>
      <c r="F187" s="9" t="n">
        <v>0.04</v>
      </c>
      <c r="G187" s="22" t="n">
        <v>213267</v>
      </c>
      <c r="H187" s="22" t="n">
        <v>464492</v>
      </c>
      <c r="I187" s="22" t="n">
        <v>4198837</v>
      </c>
      <c r="J187" s="22" t="n">
        <v>21033737</v>
      </c>
      <c r="K187" s="18" t="n">
        <f aca="false">C187+D187+E187+G187+H187+I187</f>
        <v>21033737</v>
      </c>
      <c r="L187" s="23" t="n">
        <f aca="false">K187-J187</f>
        <v>0</v>
      </c>
    </row>
    <row r="188" customFormat="false" ht="15" hidden="false" customHeight="false" outlineLevel="0" collapsed="false">
      <c r="A188" s="6" t="s">
        <v>487</v>
      </c>
      <c r="B188" s="6" t="s">
        <v>485</v>
      </c>
      <c r="C188" s="22" t="n">
        <v>15348450</v>
      </c>
      <c r="D188" s="22" t="n">
        <v>4884486</v>
      </c>
      <c r="E188" s="22" t="n">
        <v>1381887</v>
      </c>
      <c r="F188" s="9" t="n">
        <v>0.04</v>
      </c>
      <c r="G188" s="22" t="n">
        <v>380034</v>
      </c>
      <c r="H188" s="22" t="n">
        <v>1957674</v>
      </c>
      <c r="I188" s="22" t="n">
        <v>9416652</v>
      </c>
      <c r="J188" s="22" t="n">
        <v>33369183</v>
      </c>
      <c r="K188" s="18" t="n">
        <f aca="false">C188+D188+E188+G188+H188+I188</f>
        <v>33369183</v>
      </c>
      <c r="L188" s="23" t="n">
        <f aca="false">K188-J188</f>
        <v>0</v>
      </c>
    </row>
    <row r="189" customFormat="false" ht="15" hidden="false" customHeight="false" outlineLevel="0" collapsed="false">
      <c r="A189" s="6" t="s">
        <v>488</v>
      </c>
      <c r="B189" s="6" t="s">
        <v>485</v>
      </c>
      <c r="C189" s="22" t="n">
        <v>17676978</v>
      </c>
      <c r="D189" s="22" t="n">
        <v>7198288</v>
      </c>
      <c r="E189" s="22" t="n">
        <v>8942024</v>
      </c>
      <c r="F189" s="9" t="n">
        <v>0.05</v>
      </c>
      <c r="G189" s="22" t="n">
        <v>1693993</v>
      </c>
      <c r="H189" s="22" t="n">
        <v>4429993</v>
      </c>
      <c r="I189" s="22" t="n">
        <v>20339155</v>
      </c>
      <c r="J189" s="22" t="n">
        <v>60280431</v>
      </c>
      <c r="K189" s="18" t="n">
        <f aca="false">C189+D189+E189+G189+H189+I189</f>
        <v>60280431</v>
      </c>
      <c r="L189" s="23" t="n">
        <f aca="false">K189-J189</f>
        <v>0</v>
      </c>
    </row>
    <row r="190" customFormat="false" ht="15" hidden="false" customHeight="false" outlineLevel="0" collapsed="false">
      <c r="A190" s="6" t="s">
        <v>489</v>
      </c>
      <c r="B190" s="6" t="s">
        <v>485</v>
      </c>
      <c r="C190" s="22" t="n">
        <v>13159278</v>
      </c>
      <c r="D190" s="22" t="n">
        <v>4167665</v>
      </c>
      <c r="E190" s="22" t="n">
        <v>1176206</v>
      </c>
      <c r="F190" s="9" t="n">
        <v>0.04</v>
      </c>
      <c r="G190" s="22" t="n">
        <v>356769</v>
      </c>
      <c r="H190" s="22" t="n">
        <v>1796908</v>
      </c>
      <c r="I190" s="22" t="n">
        <v>10219294</v>
      </c>
      <c r="J190" s="22" t="n">
        <v>30876120</v>
      </c>
      <c r="K190" s="18" t="n">
        <f aca="false">C190+D190+E190+G190+H190+I190</f>
        <v>30876120</v>
      </c>
      <c r="L190" s="23" t="n">
        <f aca="false">K190-J190</f>
        <v>0</v>
      </c>
    </row>
    <row r="191" customFormat="false" ht="15" hidden="false" customHeight="false" outlineLevel="0" collapsed="false">
      <c r="A191" s="6" t="s">
        <v>490</v>
      </c>
      <c r="B191" s="6" t="s">
        <v>485</v>
      </c>
      <c r="C191" s="22" t="n">
        <v>4450364</v>
      </c>
      <c r="D191" s="22" t="n">
        <v>5487345</v>
      </c>
      <c r="E191" s="22" t="n">
        <v>12013637</v>
      </c>
      <c r="F191" s="9" t="n">
        <v>0.05</v>
      </c>
      <c r="G191" s="22" t="n">
        <v>1313583</v>
      </c>
      <c r="H191" s="22" t="n">
        <v>4457950</v>
      </c>
      <c r="I191" s="22" t="n">
        <v>15013776</v>
      </c>
      <c r="J191" s="22" t="n">
        <v>42736655</v>
      </c>
      <c r="K191" s="18" t="n">
        <f aca="false">C191+D191+E191+G191+H191+I191</f>
        <v>42736655</v>
      </c>
      <c r="L191" s="23" t="n">
        <f aca="false">K191-J191</f>
        <v>0</v>
      </c>
    </row>
    <row r="192" customFormat="false" ht="15" hidden="false" customHeight="false" outlineLevel="0" collapsed="false">
      <c r="A192" s="6" t="s">
        <v>491</v>
      </c>
      <c r="B192" s="6" t="s">
        <v>485</v>
      </c>
      <c r="C192" s="22" t="n">
        <v>19435568</v>
      </c>
      <c r="D192" s="22" t="n">
        <v>5880602</v>
      </c>
      <c r="E192" s="22" t="n">
        <v>883901</v>
      </c>
      <c r="F192" s="9" t="n">
        <v>0.03</v>
      </c>
      <c r="G192" s="22" t="n">
        <v>356901</v>
      </c>
      <c r="H192" s="22" t="n">
        <v>1872870</v>
      </c>
      <c r="I192" s="22" t="n">
        <v>9412090</v>
      </c>
      <c r="J192" s="22" t="n">
        <v>37841932</v>
      </c>
      <c r="K192" s="18" t="n">
        <f aca="false">C192+D192+E192+G192+H192+I192</f>
        <v>37841932</v>
      </c>
      <c r="L192" s="23" t="n">
        <f aca="false">K192-J192</f>
        <v>0</v>
      </c>
    </row>
    <row r="193" customFormat="false" ht="15" hidden="false" customHeight="false" outlineLevel="0" collapsed="false">
      <c r="A193" s="6" t="s">
        <v>492</v>
      </c>
      <c r="B193" s="6" t="s">
        <v>485</v>
      </c>
      <c r="C193" s="22" t="n">
        <v>7175505</v>
      </c>
      <c r="D193" s="22" t="n">
        <v>7215544</v>
      </c>
      <c r="E193" s="22" t="n">
        <v>15237523</v>
      </c>
      <c r="F193" s="9" t="n">
        <v>0.048</v>
      </c>
      <c r="G193" s="22" t="n">
        <v>1955839</v>
      </c>
      <c r="H193" s="22" t="n">
        <v>4971546</v>
      </c>
      <c r="I193" s="22" t="n">
        <v>21986720</v>
      </c>
      <c r="J193" s="22" t="n">
        <v>58542677</v>
      </c>
      <c r="K193" s="18" t="n">
        <f aca="false">C193+D193+E193+G193+H193+I193</f>
        <v>58542677</v>
      </c>
      <c r="L193" s="23" t="n">
        <f aca="false">K193-J193</f>
        <v>0</v>
      </c>
    </row>
    <row r="194" customFormat="false" ht="15" hidden="false" customHeight="false" outlineLevel="0" collapsed="false">
      <c r="A194" s="6" t="s">
        <v>493</v>
      </c>
      <c r="B194" s="6" t="s">
        <v>485</v>
      </c>
      <c r="C194" s="22" t="n">
        <v>11197606</v>
      </c>
      <c r="D194" s="22" t="n">
        <v>3772650</v>
      </c>
      <c r="E194" s="22" t="n">
        <v>1740904</v>
      </c>
      <c r="F194" s="9" t="n">
        <v>0.05</v>
      </c>
      <c r="G194" s="22" t="n">
        <v>434852</v>
      </c>
      <c r="H194" s="22" t="n">
        <v>2047275</v>
      </c>
      <c r="I194" s="22" t="n">
        <v>9760401</v>
      </c>
      <c r="J194" s="22" t="n">
        <v>28953688</v>
      </c>
      <c r="K194" s="18" t="n">
        <f aca="false">C194+D194+E194+G194+H194+I194</f>
        <v>28953688</v>
      </c>
      <c r="L194" s="23" t="n">
        <f aca="false">K194-J194</f>
        <v>0</v>
      </c>
    </row>
    <row r="195" customFormat="false" ht="15" hidden="false" customHeight="false" outlineLevel="0" collapsed="false">
      <c r="A195" s="6" t="s">
        <v>494</v>
      </c>
      <c r="B195" s="6" t="s">
        <v>485</v>
      </c>
      <c r="C195" s="22" t="n">
        <v>19247619</v>
      </c>
      <c r="D195" s="22" t="n">
        <v>5679168</v>
      </c>
      <c r="E195" s="22" t="n">
        <v>3236387</v>
      </c>
      <c r="F195" s="9" t="n">
        <v>0.05</v>
      </c>
      <c r="G195" s="22" t="n">
        <v>1395766</v>
      </c>
      <c r="H195" s="22" t="n">
        <v>2889184</v>
      </c>
      <c r="I195" s="22" t="n">
        <v>12045751</v>
      </c>
      <c r="J195" s="22" t="n">
        <v>44493875</v>
      </c>
      <c r="K195" s="18" t="n">
        <f aca="false">C195+D195+E195+G195+H195+I195</f>
        <v>44493875</v>
      </c>
      <c r="L195" s="23" t="n">
        <f aca="false">K195-J195</f>
        <v>0</v>
      </c>
    </row>
    <row r="196" customFormat="false" ht="15" hidden="false" customHeight="false" outlineLevel="0" collapsed="false">
      <c r="A196" s="6" t="s">
        <v>495</v>
      </c>
      <c r="B196" s="6" t="s">
        <v>485</v>
      </c>
      <c r="C196" s="22" t="n">
        <v>21482425</v>
      </c>
      <c r="D196" s="22" t="n">
        <v>6869447</v>
      </c>
      <c r="E196" s="22" t="n">
        <v>2677302</v>
      </c>
      <c r="F196" s="9" t="n">
        <v>0.05</v>
      </c>
      <c r="G196" s="22" t="n">
        <v>535273</v>
      </c>
      <c r="H196" s="22" t="n">
        <v>2552648</v>
      </c>
      <c r="I196" s="22" t="n">
        <v>10321500</v>
      </c>
      <c r="J196" s="22" t="n">
        <v>44438595</v>
      </c>
      <c r="K196" s="18" t="n">
        <f aca="false">C196+D196+E196+G196+H196+I196</f>
        <v>44438595</v>
      </c>
      <c r="L196" s="23" t="n">
        <f aca="false">K196-J196</f>
        <v>0</v>
      </c>
    </row>
    <row r="197" customFormat="false" ht="15" hidden="false" customHeight="false" outlineLevel="0" collapsed="false">
      <c r="A197" s="6" t="s">
        <v>485</v>
      </c>
      <c r="B197" s="6" t="s">
        <v>485</v>
      </c>
      <c r="C197" s="22" t="n">
        <v>3547850</v>
      </c>
      <c r="D197" s="22" t="n">
        <v>1717785</v>
      </c>
      <c r="E197" s="22" t="n">
        <v>15696083</v>
      </c>
      <c r="F197" s="9" t="n">
        <v>0.025</v>
      </c>
      <c r="G197" s="22" t="n">
        <v>5883309</v>
      </c>
      <c r="H197" s="22" t="n">
        <v>6160654</v>
      </c>
      <c r="I197" s="22" t="n">
        <v>32296405</v>
      </c>
      <c r="J197" s="22" t="n">
        <v>65302086</v>
      </c>
      <c r="K197" s="18" t="n">
        <f aca="false">C197+D197+E197+G197+H197+I197</f>
        <v>65302086</v>
      </c>
      <c r="L197" s="23" t="n">
        <f aca="false">K197-J197</f>
        <v>0</v>
      </c>
    </row>
    <row r="198" customFormat="false" ht="15" hidden="false" customHeight="false" outlineLevel="0" collapsed="false">
      <c r="A198" s="6" t="s">
        <v>496</v>
      </c>
      <c r="B198" s="6" t="s">
        <v>485</v>
      </c>
      <c r="C198" s="22" t="n">
        <v>5251838</v>
      </c>
      <c r="D198" s="22" t="n">
        <v>3337556</v>
      </c>
      <c r="E198" s="22" t="n">
        <v>3089618</v>
      </c>
      <c r="F198" s="9" t="n">
        <v>0.04</v>
      </c>
      <c r="G198" s="22" t="n">
        <v>687407</v>
      </c>
      <c r="H198" s="22" t="n">
        <v>2363782</v>
      </c>
      <c r="I198" s="22" t="n">
        <v>9603844</v>
      </c>
      <c r="J198" s="22" t="n">
        <v>24334045</v>
      </c>
      <c r="K198" s="18" t="n">
        <f aca="false">C198+D198+E198+G198+H198+I198</f>
        <v>24334045</v>
      </c>
      <c r="L198" s="23" t="n">
        <f aca="false">K198-J198</f>
        <v>0</v>
      </c>
    </row>
    <row r="199" customFormat="false" ht="15" hidden="false" customHeight="false" outlineLevel="0" collapsed="false">
      <c r="A199" s="6" t="s">
        <v>497</v>
      </c>
      <c r="B199" s="6" t="s">
        <v>485</v>
      </c>
      <c r="C199" s="22" t="n">
        <v>17890550</v>
      </c>
      <c r="D199" s="22" t="n">
        <v>5923011</v>
      </c>
      <c r="E199" s="22" t="n">
        <v>2406777</v>
      </c>
      <c r="F199" s="9" t="n">
        <v>0.035</v>
      </c>
      <c r="G199" s="22" t="n">
        <v>576722</v>
      </c>
      <c r="H199" s="22" t="n">
        <v>2097727</v>
      </c>
      <c r="I199" s="22" t="n">
        <v>9504413</v>
      </c>
      <c r="J199" s="22" t="n">
        <v>38399200</v>
      </c>
      <c r="K199" s="18" t="n">
        <f aca="false">C199+D199+E199+G199+H199+I199</f>
        <v>38399200</v>
      </c>
      <c r="L199" s="23" t="n">
        <f aca="false">K199-J199</f>
        <v>0</v>
      </c>
    </row>
    <row r="200" customFormat="false" ht="15" hidden="false" customHeight="false" outlineLevel="0" collapsed="false">
      <c r="A200" s="6" t="s">
        <v>498</v>
      </c>
      <c r="B200" s="6" t="s">
        <v>485</v>
      </c>
      <c r="C200" s="22" t="n">
        <v>7111460</v>
      </c>
      <c r="D200" s="22" t="n">
        <v>4202056</v>
      </c>
      <c r="E200" s="22" t="n">
        <v>1639634</v>
      </c>
      <c r="F200" s="9" t="n">
        <v>0.04</v>
      </c>
      <c r="G200" s="22" t="n">
        <v>322846</v>
      </c>
      <c r="H200" s="22" t="n">
        <v>1256545</v>
      </c>
      <c r="I200" s="22" t="n">
        <v>6259941</v>
      </c>
      <c r="J200" s="22" t="n">
        <v>20792482</v>
      </c>
      <c r="K200" s="18" t="n">
        <f aca="false">C200+D200+E200+G200+H200+I200</f>
        <v>20792482</v>
      </c>
      <c r="L200" s="23" t="n">
        <f aca="false">K200-J200</f>
        <v>0</v>
      </c>
    </row>
    <row r="201" customFormat="false" ht="15" hidden="false" customHeight="false" outlineLevel="0" collapsed="false">
      <c r="A201" s="6" t="s">
        <v>499</v>
      </c>
      <c r="B201" s="6" t="s">
        <v>485</v>
      </c>
      <c r="C201" s="22" t="n">
        <v>8401187</v>
      </c>
      <c r="D201" s="22" t="n">
        <v>3855832</v>
      </c>
      <c r="E201" s="22" t="n">
        <v>5297207</v>
      </c>
      <c r="F201" s="9" t="n">
        <v>0.05</v>
      </c>
      <c r="G201" s="22" t="n">
        <v>986504</v>
      </c>
      <c r="H201" s="22" t="n">
        <v>3039488</v>
      </c>
      <c r="I201" s="22" t="n">
        <v>14659032</v>
      </c>
      <c r="J201" s="22" t="n">
        <v>36239250</v>
      </c>
      <c r="K201" s="18" t="n">
        <f aca="false">C201+D201+E201+G201+H201+I201</f>
        <v>36239250</v>
      </c>
      <c r="L201" s="23" t="n">
        <f aca="false">K201-J201</f>
        <v>0</v>
      </c>
    </row>
    <row r="202" customFormat="false" ht="15" hidden="false" customHeight="false" outlineLevel="0" collapsed="false">
      <c r="A202" s="6" t="s">
        <v>500</v>
      </c>
      <c r="B202" s="6" t="s">
        <v>485</v>
      </c>
      <c r="C202" s="22" t="n">
        <v>5476674</v>
      </c>
      <c r="D202" s="22" t="n">
        <v>4452707</v>
      </c>
      <c r="E202" s="22" t="n">
        <v>5400957</v>
      </c>
      <c r="F202" s="9" t="n">
        <v>0.05</v>
      </c>
      <c r="G202" s="22" t="n">
        <v>757307</v>
      </c>
      <c r="H202" s="22" t="n">
        <v>2768916</v>
      </c>
      <c r="I202" s="22" t="n">
        <v>15485659</v>
      </c>
      <c r="J202" s="22" t="n">
        <v>34342220</v>
      </c>
      <c r="K202" s="18" t="n">
        <f aca="false">C202+D202+E202+G202+H202+I202</f>
        <v>34342220</v>
      </c>
      <c r="L202" s="23" t="n">
        <f aca="false">K202-J202</f>
        <v>0</v>
      </c>
    </row>
    <row r="203" customFormat="false" ht="15" hidden="false" customHeight="false" outlineLevel="0" collapsed="false">
      <c r="A203" s="6" t="s">
        <v>501</v>
      </c>
      <c r="B203" s="6" t="s">
        <v>485</v>
      </c>
      <c r="C203" s="22" t="n">
        <v>14959733</v>
      </c>
      <c r="D203" s="22" t="n">
        <v>11695157</v>
      </c>
      <c r="E203" s="22" t="n">
        <v>11446715</v>
      </c>
      <c r="F203" s="9" t="n">
        <v>0.025</v>
      </c>
      <c r="G203" s="22" t="n">
        <v>2693408</v>
      </c>
      <c r="H203" s="22" t="n">
        <v>8914810</v>
      </c>
      <c r="I203" s="22" t="n">
        <v>32459880</v>
      </c>
      <c r="J203" s="22" t="n">
        <v>82169703</v>
      </c>
      <c r="K203" s="18" t="n">
        <f aca="false">C203+D203+E203+G203+H203+I203</f>
        <v>82169703</v>
      </c>
      <c r="L203" s="23" t="n">
        <f aca="false">K203-J203</f>
        <v>0</v>
      </c>
    </row>
    <row r="204" customFormat="false" ht="15" hidden="false" customHeight="false" outlineLevel="0" collapsed="false">
      <c r="A204" s="6" t="s">
        <v>502</v>
      </c>
      <c r="B204" s="6" t="s">
        <v>503</v>
      </c>
      <c r="C204" s="22" t="n">
        <v>15102719</v>
      </c>
      <c r="D204" s="22" t="n">
        <v>4652103</v>
      </c>
      <c r="E204" s="22" t="n">
        <v>1615765</v>
      </c>
      <c r="F204" s="9" t="n">
        <v>0.045</v>
      </c>
      <c r="G204" s="22" t="n">
        <v>296076</v>
      </c>
      <c r="H204" s="22" t="n">
        <v>1141370</v>
      </c>
      <c r="I204" s="22" t="n">
        <v>5048698</v>
      </c>
      <c r="J204" s="22" t="n">
        <v>27856731</v>
      </c>
      <c r="K204" s="18" t="n">
        <f aca="false">C204+D204+E204+G204+H204+I204</f>
        <v>27856731</v>
      </c>
      <c r="L204" s="23" t="n">
        <f aca="false">K204-J204</f>
        <v>0</v>
      </c>
    </row>
    <row r="205" customFormat="false" ht="15" hidden="false" customHeight="false" outlineLevel="0" collapsed="false">
      <c r="A205" s="6" t="s">
        <v>504</v>
      </c>
      <c r="B205" s="6" t="s">
        <v>503</v>
      </c>
      <c r="C205" s="22" t="n">
        <v>5748164</v>
      </c>
      <c r="D205" s="22" t="n">
        <v>2223454</v>
      </c>
      <c r="E205" s="22" t="n">
        <v>440705</v>
      </c>
      <c r="F205" s="9" t="n">
        <v>0.045</v>
      </c>
      <c r="G205" s="22" t="n">
        <v>145541</v>
      </c>
      <c r="H205" s="22" t="n">
        <v>519756</v>
      </c>
      <c r="I205" s="22" t="n">
        <v>2372213</v>
      </c>
      <c r="J205" s="22" t="n">
        <v>11449833</v>
      </c>
      <c r="K205" s="18" t="n">
        <f aca="false">C205+D205+E205+G205+H205+I205</f>
        <v>11449833</v>
      </c>
      <c r="L205" s="23" t="n">
        <f aca="false">K205-J205</f>
        <v>0</v>
      </c>
    </row>
    <row r="206" customFormat="false" ht="15" hidden="false" customHeight="false" outlineLevel="0" collapsed="false">
      <c r="A206" s="6" t="s">
        <v>505</v>
      </c>
      <c r="B206" s="6" t="s">
        <v>503</v>
      </c>
      <c r="C206" s="22" t="n">
        <v>7524120</v>
      </c>
      <c r="D206" s="22" t="n">
        <v>2427078</v>
      </c>
      <c r="E206" s="22" t="n">
        <v>1046844</v>
      </c>
      <c r="F206" s="9" t="n">
        <v>0.05</v>
      </c>
      <c r="G206" s="22" t="n">
        <v>226407</v>
      </c>
      <c r="H206" s="22" t="n">
        <v>947883</v>
      </c>
      <c r="I206" s="22" t="n">
        <v>4798400</v>
      </c>
      <c r="J206" s="22" t="n">
        <v>16970732</v>
      </c>
      <c r="K206" s="18" t="n">
        <f aca="false">C206+D206+E206+G206+H206+I206</f>
        <v>16970732</v>
      </c>
      <c r="L206" s="23" t="n">
        <f aca="false">K206-J206</f>
        <v>0</v>
      </c>
    </row>
    <row r="207" customFormat="false" ht="15" hidden="false" customHeight="false" outlineLevel="0" collapsed="false">
      <c r="A207" s="6" t="s">
        <v>506</v>
      </c>
      <c r="B207" s="6" t="s">
        <v>503</v>
      </c>
      <c r="C207" s="22" t="n">
        <v>3992036</v>
      </c>
      <c r="D207" s="22" t="n">
        <v>1708029</v>
      </c>
      <c r="E207" s="22" t="n">
        <v>335239</v>
      </c>
      <c r="F207" s="9" t="n">
        <v>0.05</v>
      </c>
      <c r="G207" s="22" t="n">
        <v>103345</v>
      </c>
      <c r="H207" s="22" t="n">
        <v>228960</v>
      </c>
      <c r="I207" s="22" t="n">
        <v>1620317</v>
      </c>
      <c r="J207" s="22" t="n">
        <v>7987926</v>
      </c>
      <c r="K207" s="18" t="n">
        <f aca="false">C207+D207+E207+G207+H207+I207</f>
        <v>7987926</v>
      </c>
      <c r="L207" s="23" t="n">
        <f aca="false">K207-J207</f>
        <v>0</v>
      </c>
    </row>
    <row r="208" customFormat="false" ht="15" hidden="false" customHeight="false" outlineLevel="0" collapsed="false">
      <c r="A208" s="6" t="s">
        <v>507</v>
      </c>
      <c r="B208" s="6" t="s">
        <v>503</v>
      </c>
      <c r="C208" s="22" t="n">
        <v>3962483</v>
      </c>
      <c r="D208" s="22" t="n">
        <v>299594</v>
      </c>
      <c r="E208" s="22" t="n">
        <v>1014739</v>
      </c>
      <c r="F208" s="9" t="n">
        <v>0.025</v>
      </c>
      <c r="G208" s="22" t="n">
        <v>275163</v>
      </c>
      <c r="H208" s="22" t="n">
        <v>1356241</v>
      </c>
      <c r="I208" s="22" t="n">
        <v>4738656</v>
      </c>
      <c r="J208" s="22" t="n">
        <v>11646876</v>
      </c>
      <c r="K208" s="18" t="n">
        <f aca="false">C208+D208+E208+G208+H208+I208</f>
        <v>11646876</v>
      </c>
      <c r="L208" s="23" t="n">
        <f aca="false">K208-J208</f>
        <v>0</v>
      </c>
    </row>
    <row r="209" customFormat="false" ht="15" hidden="false" customHeight="false" outlineLevel="0" collapsed="false">
      <c r="A209" s="6" t="s">
        <v>508</v>
      </c>
      <c r="B209" s="6" t="s">
        <v>503</v>
      </c>
      <c r="C209" s="22" t="n">
        <v>6145192</v>
      </c>
      <c r="D209" s="22" t="n">
        <v>2132470</v>
      </c>
      <c r="E209" s="22" t="n">
        <v>1455610</v>
      </c>
      <c r="F209" s="9" t="n">
        <v>0.05</v>
      </c>
      <c r="G209" s="22" t="n">
        <v>229432</v>
      </c>
      <c r="H209" s="22" t="n">
        <v>882853</v>
      </c>
      <c r="I209" s="22" t="n">
        <v>5238461</v>
      </c>
      <c r="J209" s="22" t="n">
        <v>16084018</v>
      </c>
      <c r="K209" s="18" t="n">
        <f aca="false">C209+D209+E209+G209+H209+I209</f>
        <v>16084018</v>
      </c>
      <c r="L209" s="23" t="n">
        <f aca="false">K209-J209</f>
        <v>0</v>
      </c>
    </row>
    <row r="210" customFormat="false" ht="15" hidden="false" customHeight="false" outlineLevel="0" collapsed="false">
      <c r="A210" s="6" t="s">
        <v>509</v>
      </c>
      <c r="B210" s="6" t="s">
        <v>503</v>
      </c>
      <c r="C210" s="22" t="n">
        <v>8466988</v>
      </c>
      <c r="D210" s="22" t="n">
        <v>3577327</v>
      </c>
      <c r="E210" s="22" t="n">
        <v>62785</v>
      </c>
      <c r="F210" s="9" t="n">
        <v>0.01</v>
      </c>
      <c r="G210" s="22" t="n">
        <v>114626</v>
      </c>
      <c r="H210" s="22" t="n">
        <v>282900</v>
      </c>
      <c r="I210" s="22" t="n">
        <v>1451919</v>
      </c>
      <c r="J210" s="22" t="n">
        <v>13956545</v>
      </c>
      <c r="K210" s="18" t="n">
        <f aca="false">C210+D210+E210+G210+H210+I210</f>
        <v>13956545</v>
      </c>
      <c r="L210" s="23" t="n">
        <f aca="false">K210-J210</f>
        <v>0</v>
      </c>
    </row>
    <row r="211" customFormat="false" ht="15" hidden="false" customHeight="false" outlineLevel="0" collapsed="false">
      <c r="A211" s="6" t="s">
        <v>510</v>
      </c>
      <c r="B211" s="6" t="s">
        <v>503</v>
      </c>
      <c r="C211" s="22" t="n">
        <v>3177320</v>
      </c>
      <c r="D211" s="22" t="n">
        <v>2258329</v>
      </c>
      <c r="E211" s="22" t="n">
        <v>208874</v>
      </c>
      <c r="F211" s="9" t="n">
        <v>0.05</v>
      </c>
      <c r="G211" s="22" t="n">
        <v>93387</v>
      </c>
      <c r="H211" s="22" t="n">
        <v>166953</v>
      </c>
      <c r="I211" s="22" t="n">
        <v>1060802</v>
      </c>
      <c r="J211" s="22" t="n">
        <v>6965665</v>
      </c>
      <c r="K211" s="18" t="n">
        <f aca="false">C211+D211+E211+G211+H211+I211</f>
        <v>6965665</v>
      </c>
      <c r="L211" s="23" t="n">
        <f aca="false">K211-J211</f>
        <v>0</v>
      </c>
    </row>
    <row r="212" customFormat="false" ht="15" hidden="false" customHeight="false" outlineLevel="0" collapsed="false">
      <c r="A212" s="6" t="s">
        <v>511</v>
      </c>
      <c r="B212" s="6" t="s">
        <v>503</v>
      </c>
      <c r="C212" s="22" t="n">
        <v>15797015</v>
      </c>
      <c r="D212" s="22" t="n">
        <v>4463139</v>
      </c>
      <c r="E212" s="22" t="n">
        <v>387705</v>
      </c>
      <c r="F212" s="9" t="n">
        <v>0.025</v>
      </c>
      <c r="G212" s="22" t="n">
        <v>189529</v>
      </c>
      <c r="H212" s="22" t="n">
        <v>531907</v>
      </c>
      <c r="I212" s="22" t="n">
        <v>3332243</v>
      </c>
      <c r="J212" s="22" t="n">
        <v>24701538</v>
      </c>
      <c r="K212" s="18" t="n">
        <f aca="false">C212+D212+E212+G212+H212+I212</f>
        <v>24701538</v>
      </c>
      <c r="L212" s="23" t="n">
        <f aca="false">K212-J212</f>
        <v>0</v>
      </c>
    </row>
    <row r="213" customFormat="false" ht="15" hidden="false" customHeight="false" outlineLevel="0" collapsed="false">
      <c r="A213" s="6" t="s">
        <v>512</v>
      </c>
      <c r="B213" s="6" t="s">
        <v>503</v>
      </c>
      <c r="C213" s="22" t="n">
        <v>3134039</v>
      </c>
      <c r="D213" s="22" t="n">
        <v>1399475</v>
      </c>
      <c r="E213" s="22" t="n">
        <v>1539512</v>
      </c>
      <c r="F213" s="9" t="n">
        <v>0.05</v>
      </c>
      <c r="G213" s="22" t="n">
        <v>192899</v>
      </c>
      <c r="H213" s="22" t="n">
        <v>967441</v>
      </c>
      <c r="I213" s="22" t="n">
        <v>3315965</v>
      </c>
      <c r="J213" s="22" t="n">
        <v>10549331</v>
      </c>
      <c r="K213" s="18" t="n">
        <f aca="false">C213+D213+E213+G213+H213+I213</f>
        <v>10549331</v>
      </c>
      <c r="L213" s="23" t="n">
        <f aca="false">K213-J213</f>
        <v>0</v>
      </c>
    </row>
    <row r="214" customFormat="false" ht="15" hidden="false" customHeight="false" outlineLevel="0" collapsed="false">
      <c r="A214" s="6" t="s">
        <v>513</v>
      </c>
      <c r="B214" s="6" t="s">
        <v>503</v>
      </c>
      <c r="C214" s="22" t="n">
        <v>4703772</v>
      </c>
      <c r="D214" s="22" t="n">
        <v>3351901</v>
      </c>
      <c r="E214" s="22" t="n">
        <v>56158</v>
      </c>
      <c r="F214" s="9" t="n">
        <v>0.01</v>
      </c>
      <c r="G214" s="22" t="n">
        <v>114891</v>
      </c>
      <c r="H214" s="22" t="n">
        <v>256933</v>
      </c>
      <c r="I214" s="22" t="n">
        <v>1295602</v>
      </c>
      <c r="J214" s="22" t="n">
        <v>9779257</v>
      </c>
      <c r="K214" s="18" t="n">
        <f aca="false">C214+D214+E214+G214+H214+I214</f>
        <v>9779257</v>
      </c>
      <c r="L214" s="23" t="n">
        <f aca="false">K214-J214</f>
        <v>0</v>
      </c>
    </row>
    <row r="215" customFormat="false" ht="15" hidden="false" customHeight="false" outlineLevel="0" collapsed="false">
      <c r="A215" s="6" t="s">
        <v>514</v>
      </c>
      <c r="B215" s="6" t="s">
        <v>503</v>
      </c>
      <c r="C215" s="22" t="n">
        <v>3551076</v>
      </c>
      <c r="D215" s="22" t="n">
        <v>1555895</v>
      </c>
      <c r="E215" s="22" t="n">
        <v>260745</v>
      </c>
      <c r="F215" s="9" t="n">
        <v>0.05</v>
      </c>
      <c r="G215" s="22" t="n">
        <v>95897</v>
      </c>
      <c r="H215" s="22" t="n">
        <v>187864</v>
      </c>
      <c r="I215" s="22" t="n">
        <v>1068171</v>
      </c>
      <c r="J215" s="22" t="n">
        <v>6719648</v>
      </c>
      <c r="K215" s="18" t="n">
        <f aca="false">C215+D215+E215+G215+H215+I215</f>
        <v>6719648</v>
      </c>
      <c r="L215" s="23" t="n">
        <f aca="false">K215-J215</f>
        <v>0</v>
      </c>
    </row>
    <row r="216" customFormat="false" ht="15" hidden="false" customHeight="false" outlineLevel="0" collapsed="false">
      <c r="A216" s="6" t="s">
        <v>515</v>
      </c>
      <c r="B216" s="6" t="s">
        <v>503</v>
      </c>
      <c r="C216" s="22" t="n">
        <v>6556473</v>
      </c>
      <c r="D216" s="22" t="n">
        <v>4354775</v>
      </c>
      <c r="E216" s="22" t="n">
        <v>196306</v>
      </c>
      <c r="F216" s="9" t="n">
        <v>0.04</v>
      </c>
      <c r="G216" s="22" t="n">
        <v>98478</v>
      </c>
      <c r="H216" s="22" t="n">
        <v>182360</v>
      </c>
      <c r="I216" s="22" t="n">
        <v>1273538</v>
      </c>
      <c r="J216" s="22" t="n">
        <v>12661930</v>
      </c>
      <c r="K216" s="18" t="n">
        <f aca="false">C216+D216+E216+G216+H216+I216</f>
        <v>12661930</v>
      </c>
      <c r="L216" s="23" t="n">
        <f aca="false">K216-J216</f>
        <v>0</v>
      </c>
    </row>
    <row r="217" customFormat="false" ht="15" hidden="false" customHeight="false" outlineLevel="0" collapsed="false">
      <c r="A217" s="6" t="s">
        <v>516</v>
      </c>
      <c r="B217" s="6" t="s">
        <v>503</v>
      </c>
      <c r="C217" s="22" t="n">
        <v>8913582</v>
      </c>
      <c r="D217" s="22" t="n">
        <v>7875751</v>
      </c>
      <c r="E217" s="22" t="n">
        <v>2084744</v>
      </c>
      <c r="F217" s="9" t="n">
        <v>0.05</v>
      </c>
      <c r="G217" s="22" t="n">
        <v>674901</v>
      </c>
      <c r="H217" s="22" t="n">
        <v>1434825</v>
      </c>
      <c r="I217" s="22" t="n">
        <v>6042079</v>
      </c>
      <c r="J217" s="22" t="n">
        <v>27025882</v>
      </c>
      <c r="K217" s="18" t="n">
        <f aca="false">C217+D217+E217+G217+H217+I217</f>
        <v>27025882</v>
      </c>
      <c r="L217" s="23" t="n">
        <f aca="false">K217-J217</f>
        <v>0</v>
      </c>
    </row>
    <row r="218" customFormat="false" ht="15" hidden="false" customHeight="false" outlineLevel="0" collapsed="false">
      <c r="A218" s="6" t="s">
        <v>517</v>
      </c>
      <c r="B218" s="6" t="s">
        <v>503</v>
      </c>
      <c r="C218" s="22" t="n">
        <v>7182622</v>
      </c>
      <c r="D218" s="22" t="n">
        <v>3015728</v>
      </c>
      <c r="E218" s="22" t="n">
        <v>930683</v>
      </c>
      <c r="F218" s="9" t="n">
        <v>0.044</v>
      </c>
      <c r="G218" s="22" t="n">
        <v>238382</v>
      </c>
      <c r="H218" s="22" t="n">
        <v>925729</v>
      </c>
      <c r="I218" s="22" t="n">
        <v>3641333</v>
      </c>
      <c r="J218" s="22" t="n">
        <v>15934477</v>
      </c>
      <c r="K218" s="18" t="n">
        <f aca="false">C218+D218+E218+G218+H218+I218</f>
        <v>15934477</v>
      </c>
      <c r="L218" s="23" t="n">
        <f aca="false">K218-J218</f>
        <v>0</v>
      </c>
    </row>
    <row r="219" customFormat="false" ht="15" hidden="false" customHeight="false" outlineLevel="0" collapsed="false">
      <c r="A219" s="6" t="s">
        <v>518</v>
      </c>
      <c r="B219" s="6" t="s">
        <v>503</v>
      </c>
      <c r="C219" s="22" t="n">
        <v>7461721</v>
      </c>
      <c r="D219" s="22" t="n">
        <v>2373384</v>
      </c>
      <c r="E219" s="22" t="n">
        <v>1179882</v>
      </c>
      <c r="F219" s="9" t="n">
        <v>0.05</v>
      </c>
      <c r="G219" s="22" t="n">
        <v>245218</v>
      </c>
      <c r="H219" s="22" t="n">
        <v>845173</v>
      </c>
      <c r="I219" s="22" t="n">
        <v>2745510</v>
      </c>
      <c r="J219" s="22" t="n">
        <v>14850888</v>
      </c>
      <c r="K219" s="18" t="n">
        <f aca="false">C219+D219+E219+G219+H219+I219</f>
        <v>14850888</v>
      </c>
      <c r="L219" s="23" t="n">
        <f aca="false">K219-J219</f>
        <v>0</v>
      </c>
    </row>
    <row r="220" customFormat="false" ht="15" hidden="false" customHeight="false" outlineLevel="0" collapsed="false">
      <c r="A220" s="6" t="s">
        <v>503</v>
      </c>
      <c r="B220" s="6" t="s">
        <v>503</v>
      </c>
      <c r="C220" s="22" t="n">
        <v>15380854</v>
      </c>
      <c r="D220" s="22" t="n">
        <v>5637892</v>
      </c>
      <c r="E220" s="22" t="n">
        <v>3663353</v>
      </c>
      <c r="F220" s="9" t="n">
        <v>0.045</v>
      </c>
      <c r="G220" s="22" t="n">
        <v>546371</v>
      </c>
      <c r="H220" s="22" t="n">
        <v>2416137</v>
      </c>
      <c r="I220" s="22" t="n">
        <v>12078770</v>
      </c>
      <c r="J220" s="22" t="n">
        <v>39723377</v>
      </c>
      <c r="K220" s="18" t="n">
        <f aca="false">C220+D220+E220+G220+H220+I220</f>
        <v>39723377</v>
      </c>
      <c r="L220" s="23" t="n">
        <f aca="false">K220-J220</f>
        <v>0</v>
      </c>
    </row>
    <row r="221" customFormat="false" ht="15" hidden="false" customHeight="false" outlineLevel="0" collapsed="false">
      <c r="A221" s="6" t="s">
        <v>519</v>
      </c>
      <c r="B221" s="6" t="s">
        <v>503</v>
      </c>
      <c r="C221" s="22" t="n">
        <v>3519562</v>
      </c>
      <c r="D221" s="22" t="n">
        <v>2412784</v>
      </c>
      <c r="E221" s="22" t="n">
        <v>166205</v>
      </c>
      <c r="F221" s="9" t="n">
        <v>0.05</v>
      </c>
      <c r="G221" s="22" t="n">
        <v>115304</v>
      </c>
      <c r="H221" s="22" t="n">
        <v>151311</v>
      </c>
      <c r="I221" s="22" t="n">
        <v>1225536</v>
      </c>
      <c r="J221" s="22" t="n">
        <v>7590702</v>
      </c>
      <c r="K221" s="18" t="n">
        <f aca="false">C221+D221+E221+G221+H221+I221</f>
        <v>7590702</v>
      </c>
      <c r="L221" s="23" t="n">
        <f aca="false">K221-J221</f>
        <v>0</v>
      </c>
    </row>
    <row r="222" customFormat="false" ht="15" hidden="false" customHeight="false" outlineLevel="0" collapsed="false">
      <c r="A222" s="6" t="s">
        <v>520</v>
      </c>
      <c r="B222" s="6" t="s">
        <v>503</v>
      </c>
      <c r="C222" s="22" t="n">
        <v>12858111</v>
      </c>
      <c r="D222" s="22" t="n">
        <v>4133583</v>
      </c>
      <c r="E222" s="22" t="n">
        <v>2090589</v>
      </c>
      <c r="F222" s="9" t="n">
        <v>0.05</v>
      </c>
      <c r="G222" s="22" t="n">
        <v>362857</v>
      </c>
      <c r="H222" s="22" t="n">
        <v>1128895</v>
      </c>
      <c r="I222" s="22" t="n">
        <v>6515038</v>
      </c>
      <c r="J222" s="22" t="n">
        <v>27089073</v>
      </c>
      <c r="K222" s="18" t="n">
        <f aca="false">C222+D222+E222+G222+H222+I222</f>
        <v>27089073</v>
      </c>
      <c r="L222" s="23" t="n">
        <f aca="false">K222-J222</f>
        <v>0</v>
      </c>
    </row>
    <row r="223" customFormat="false" ht="15" hidden="false" customHeight="false" outlineLevel="0" collapsed="false">
      <c r="A223" s="6" t="s">
        <v>521</v>
      </c>
      <c r="B223" s="6" t="s">
        <v>503</v>
      </c>
      <c r="C223" s="22" t="n">
        <v>11357615</v>
      </c>
      <c r="D223" s="22" t="n">
        <v>3797018</v>
      </c>
      <c r="E223" s="22" t="n">
        <v>1647469</v>
      </c>
      <c r="F223" s="9" t="n">
        <v>0.04</v>
      </c>
      <c r="G223" s="22" t="n">
        <v>306082</v>
      </c>
      <c r="H223" s="22" t="n">
        <v>1310440</v>
      </c>
      <c r="I223" s="22" t="n">
        <v>5001867</v>
      </c>
      <c r="J223" s="22" t="n">
        <v>23420491</v>
      </c>
      <c r="K223" s="18" t="n">
        <f aca="false">C223+D223+E223+G223+H223+I223</f>
        <v>23420491</v>
      </c>
      <c r="L223" s="23" t="n">
        <f aca="false">K223-J223</f>
        <v>0</v>
      </c>
    </row>
    <row r="224" customFormat="false" ht="15" hidden="false" customHeight="false" outlineLevel="0" collapsed="false">
      <c r="A224" s="6" t="s">
        <v>522</v>
      </c>
      <c r="B224" s="6" t="s">
        <v>503</v>
      </c>
      <c r="C224" s="22" t="n">
        <v>3783423</v>
      </c>
      <c r="D224" s="22" t="n">
        <v>1138967</v>
      </c>
      <c r="E224" s="22" t="n">
        <v>433258</v>
      </c>
      <c r="F224" s="9" t="n">
        <v>0.045</v>
      </c>
      <c r="G224" s="22" t="n">
        <v>135932</v>
      </c>
      <c r="H224" s="22" t="n">
        <v>363548</v>
      </c>
      <c r="I224" s="22" t="n">
        <v>2114867</v>
      </c>
      <c r="J224" s="22" t="n">
        <v>7969995</v>
      </c>
      <c r="K224" s="18" t="n">
        <f aca="false">C224+D224+E224+G224+H224+I224</f>
        <v>7969995</v>
      </c>
      <c r="L224" s="23" t="n">
        <f aca="false">K224-J224</f>
        <v>0</v>
      </c>
    </row>
    <row r="225" customFormat="false" ht="15" hidden="false" customHeight="false" outlineLevel="0" collapsed="false">
      <c r="A225" s="6" t="s">
        <v>523</v>
      </c>
      <c r="B225" s="6" t="s">
        <v>524</v>
      </c>
      <c r="C225" s="22" t="n">
        <v>11912378</v>
      </c>
      <c r="D225" s="22" t="n">
        <v>1152856</v>
      </c>
      <c r="E225" s="22" t="n">
        <v>455582</v>
      </c>
      <c r="F225" s="9" t="n">
        <v>0.04</v>
      </c>
      <c r="G225" s="22" t="n">
        <v>220602</v>
      </c>
      <c r="H225" s="22" t="n">
        <v>367259</v>
      </c>
      <c r="I225" s="22" t="n">
        <v>2136804</v>
      </c>
      <c r="J225" s="22" t="n">
        <v>16245481</v>
      </c>
      <c r="K225" s="18" t="n">
        <f aca="false">C225+D225+E225+G225+H225+I225</f>
        <v>16245481</v>
      </c>
      <c r="L225" s="23" t="n">
        <f aca="false">K225-J225</f>
        <v>0</v>
      </c>
    </row>
    <row r="226" customFormat="false" ht="15" hidden="false" customHeight="false" outlineLevel="0" collapsed="false">
      <c r="A226" s="6" t="s">
        <v>525</v>
      </c>
      <c r="B226" s="6" t="s">
        <v>524</v>
      </c>
      <c r="C226" s="22" t="n">
        <v>1335037</v>
      </c>
      <c r="D226" s="22" t="n">
        <v>8704</v>
      </c>
      <c r="E226" s="22" t="n">
        <v>2415591</v>
      </c>
      <c r="F226" s="9" t="n">
        <v>0.05</v>
      </c>
      <c r="G226" s="22" t="n">
        <v>467201</v>
      </c>
      <c r="H226" s="22" t="n">
        <v>874148</v>
      </c>
      <c r="I226" s="22" t="n">
        <v>2807470</v>
      </c>
      <c r="J226" s="22" t="n">
        <v>7908151</v>
      </c>
      <c r="K226" s="18" t="n">
        <f aca="false">C226+D226+E226+G226+H226+I226</f>
        <v>7908151</v>
      </c>
      <c r="L226" s="23" t="n">
        <f aca="false">K226-J226</f>
        <v>0</v>
      </c>
    </row>
    <row r="227" customFormat="false" ht="15" hidden="false" customHeight="false" outlineLevel="0" collapsed="false">
      <c r="A227" s="6" t="s">
        <v>526</v>
      </c>
      <c r="B227" s="6" t="s">
        <v>524</v>
      </c>
      <c r="C227" s="22" t="n">
        <v>3662091</v>
      </c>
      <c r="D227" s="22" t="n">
        <v>1462098</v>
      </c>
      <c r="E227" s="22" t="n">
        <v>16505994</v>
      </c>
      <c r="F227" s="9" t="n">
        <v>0.05</v>
      </c>
      <c r="G227" s="22" t="n">
        <v>1818948</v>
      </c>
      <c r="H227" s="22" t="n">
        <v>7004425</v>
      </c>
      <c r="I227" s="22" t="n">
        <v>25797292</v>
      </c>
      <c r="J227" s="22" t="n">
        <v>56250848</v>
      </c>
      <c r="K227" s="18" t="n">
        <f aca="false">C227+D227+E227+G227+H227+I227</f>
        <v>56250848</v>
      </c>
      <c r="L227" s="23" t="n">
        <f aca="false">K227-J227</f>
        <v>0</v>
      </c>
    </row>
    <row r="228" customFormat="false" ht="15" hidden="false" customHeight="false" outlineLevel="0" collapsed="false">
      <c r="A228" s="6" t="s">
        <v>527</v>
      </c>
      <c r="B228" s="6" t="s">
        <v>524</v>
      </c>
      <c r="C228" s="22" t="n">
        <v>7895742</v>
      </c>
      <c r="D228" s="22" t="n">
        <v>4173409</v>
      </c>
      <c r="E228" s="22" t="n">
        <v>5506366</v>
      </c>
      <c r="F228" s="9" t="n">
        <v>0.05</v>
      </c>
      <c r="G228" s="22" t="n">
        <v>720418</v>
      </c>
      <c r="H228" s="22" t="n">
        <v>3312967</v>
      </c>
      <c r="I228" s="22" t="n">
        <v>12502123</v>
      </c>
      <c r="J228" s="22" t="n">
        <v>34111025</v>
      </c>
      <c r="K228" s="18" t="n">
        <f aca="false">C228+D228+E228+G228+H228+I228</f>
        <v>34111025</v>
      </c>
      <c r="L228" s="23" t="n">
        <f aca="false">K228-J228</f>
        <v>0</v>
      </c>
    </row>
    <row r="229" customFormat="false" ht="15" hidden="false" customHeight="false" outlineLevel="0" collapsed="false">
      <c r="A229" s="6" t="s">
        <v>528</v>
      </c>
      <c r="B229" s="6" t="s">
        <v>524</v>
      </c>
      <c r="C229" s="22" t="n">
        <v>5519788</v>
      </c>
      <c r="D229" s="22" t="n">
        <v>1547220</v>
      </c>
      <c r="E229" s="22" t="n">
        <v>723435</v>
      </c>
      <c r="F229" s="9" t="n">
        <v>0.04</v>
      </c>
      <c r="G229" s="22" t="n">
        <v>465321</v>
      </c>
      <c r="H229" s="22" t="n">
        <v>559347</v>
      </c>
      <c r="I229" s="22" t="n">
        <v>2735376</v>
      </c>
      <c r="J229" s="22" t="n">
        <v>11550487</v>
      </c>
      <c r="K229" s="18" t="n">
        <f aca="false">C229+D229+E229+G229+H229+I229</f>
        <v>11550487</v>
      </c>
      <c r="L229" s="23" t="n">
        <f aca="false">K229-J229</f>
        <v>0</v>
      </c>
    </row>
    <row r="230" customFormat="false" ht="15" hidden="false" customHeight="false" outlineLevel="0" collapsed="false">
      <c r="A230" s="6" t="s">
        <v>529</v>
      </c>
      <c r="B230" s="6" t="s">
        <v>524</v>
      </c>
      <c r="C230" s="22" t="n">
        <v>11986630</v>
      </c>
      <c r="D230" s="22" t="n">
        <v>4506566</v>
      </c>
      <c r="E230" s="22" t="n">
        <v>3412345</v>
      </c>
      <c r="F230" s="9" t="n">
        <v>0.05</v>
      </c>
      <c r="G230" s="22" t="n">
        <v>554503</v>
      </c>
      <c r="H230" s="22" t="n">
        <v>2771121</v>
      </c>
      <c r="I230" s="22" t="n">
        <v>9273119</v>
      </c>
      <c r="J230" s="22" t="n">
        <v>32504284</v>
      </c>
      <c r="K230" s="18" t="n">
        <f aca="false">C230+D230+E230+G230+H230+I230</f>
        <v>32504284</v>
      </c>
      <c r="L230" s="23" t="n">
        <f aca="false">K230-J230</f>
        <v>0</v>
      </c>
    </row>
    <row r="231" customFormat="false" ht="15" hidden="false" customHeight="false" outlineLevel="0" collapsed="false">
      <c r="A231" s="6" t="s">
        <v>530</v>
      </c>
      <c r="B231" s="6" t="s">
        <v>524</v>
      </c>
      <c r="C231" s="22" t="n">
        <v>3378496</v>
      </c>
      <c r="D231" s="22" t="n">
        <v>2452854</v>
      </c>
      <c r="E231" s="22" t="n">
        <v>3579814</v>
      </c>
      <c r="F231" s="9" t="n">
        <v>0.04</v>
      </c>
      <c r="G231" s="22" t="n">
        <v>587044</v>
      </c>
      <c r="H231" s="22" t="n">
        <v>2449803</v>
      </c>
      <c r="I231" s="22" t="n">
        <v>6804697</v>
      </c>
      <c r="J231" s="22" t="n">
        <v>19252708</v>
      </c>
      <c r="K231" s="18" t="n">
        <f aca="false">C231+D231+E231+G231+H231+I231</f>
        <v>19252708</v>
      </c>
      <c r="L231" s="23" t="n">
        <f aca="false">K231-J231</f>
        <v>0</v>
      </c>
    </row>
    <row r="232" customFormat="false" ht="15" hidden="false" customHeight="false" outlineLevel="0" collapsed="false">
      <c r="A232" s="6" t="s">
        <v>531</v>
      </c>
      <c r="B232" s="6" t="s">
        <v>524</v>
      </c>
      <c r="C232" s="22" t="n">
        <v>4371509</v>
      </c>
      <c r="D232" s="22" t="n">
        <v>66704</v>
      </c>
      <c r="E232" s="22" t="n">
        <v>5828246</v>
      </c>
      <c r="F232" s="9" t="n">
        <v>0.05</v>
      </c>
      <c r="G232" s="22" t="n">
        <v>593153</v>
      </c>
      <c r="H232" s="22" t="n">
        <v>2574096</v>
      </c>
      <c r="I232" s="22" t="n">
        <v>8102777</v>
      </c>
      <c r="J232" s="22" t="n">
        <v>21536485</v>
      </c>
      <c r="K232" s="18" t="n">
        <f aca="false">C232+D232+E232+G232+H232+I232</f>
        <v>21536485</v>
      </c>
      <c r="L232" s="23" t="n">
        <f aca="false">K232-J232</f>
        <v>0</v>
      </c>
    </row>
    <row r="233" customFormat="false" ht="15" hidden="false" customHeight="false" outlineLevel="0" collapsed="false">
      <c r="A233" s="6" t="s">
        <v>532</v>
      </c>
      <c r="B233" s="6" t="s">
        <v>524</v>
      </c>
      <c r="C233" s="22" t="n">
        <v>12361510</v>
      </c>
      <c r="D233" s="22" t="n">
        <v>5135286</v>
      </c>
      <c r="E233" s="22" t="n">
        <v>2533118</v>
      </c>
      <c r="F233" s="9" t="n">
        <v>0.05</v>
      </c>
      <c r="G233" s="22" t="n">
        <v>378350</v>
      </c>
      <c r="H233" s="22" t="n">
        <v>1104166</v>
      </c>
      <c r="I233" s="22" t="n">
        <v>4576846</v>
      </c>
      <c r="J233" s="22" t="n">
        <v>26089276</v>
      </c>
      <c r="K233" s="18" t="n">
        <f aca="false">C233+D233+E233+G233+H233+I233</f>
        <v>26089276</v>
      </c>
      <c r="L233" s="23" t="n">
        <f aca="false">K233-J233</f>
        <v>0</v>
      </c>
    </row>
    <row r="234" customFormat="false" ht="15" hidden="false" customHeight="false" outlineLevel="0" collapsed="false">
      <c r="A234" s="6" t="s">
        <v>533</v>
      </c>
      <c r="B234" s="6" t="s">
        <v>524</v>
      </c>
      <c r="C234" s="22" t="n">
        <v>4602222</v>
      </c>
      <c r="D234" s="22" t="n">
        <v>5907974</v>
      </c>
      <c r="E234" s="22" t="n">
        <v>13810452</v>
      </c>
      <c r="F234" s="9" t="n">
        <v>0.05</v>
      </c>
      <c r="G234" s="22" t="n">
        <v>1365221</v>
      </c>
      <c r="H234" s="22" t="n">
        <v>6221649</v>
      </c>
      <c r="I234" s="22" t="n">
        <v>19329813</v>
      </c>
      <c r="J234" s="22" t="n">
        <v>51237331</v>
      </c>
      <c r="K234" s="18" t="n">
        <f aca="false">C234+D234+E234+G234+H234+I234</f>
        <v>51237331</v>
      </c>
      <c r="L234" s="23" t="n">
        <f aca="false">K234-J234</f>
        <v>0</v>
      </c>
    </row>
    <row r="235" customFormat="false" ht="15" hidden="false" customHeight="false" outlineLevel="0" collapsed="false">
      <c r="A235" s="6" t="s">
        <v>534</v>
      </c>
      <c r="B235" s="6" t="s">
        <v>524</v>
      </c>
      <c r="C235" s="22" t="n">
        <v>1763393</v>
      </c>
      <c r="D235" s="22" t="n">
        <v>15347</v>
      </c>
      <c r="E235" s="22" t="n">
        <v>4044903</v>
      </c>
      <c r="F235" s="9" t="n">
        <v>0.05</v>
      </c>
      <c r="G235" s="22" t="n">
        <v>701134</v>
      </c>
      <c r="H235" s="22" t="n">
        <v>2346448</v>
      </c>
      <c r="I235" s="22" t="n">
        <v>7664112</v>
      </c>
      <c r="J235" s="22" t="n">
        <v>16535337</v>
      </c>
      <c r="K235" s="18" t="n">
        <f aca="false">C235+D235+E235+G235+H235+I235</f>
        <v>16535337</v>
      </c>
      <c r="L235" s="23" t="n">
        <f aca="false">K235-J235</f>
        <v>0</v>
      </c>
    </row>
    <row r="236" customFormat="false" ht="15" hidden="false" customHeight="false" outlineLevel="0" collapsed="false">
      <c r="A236" s="6" t="s">
        <v>524</v>
      </c>
      <c r="B236" s="6" t="s">
        <v>524</v>
      </c>
      <c r="C236" s="22" t="n">
        <v>4776921</v>
      </c>
      <c r="D236" s="22" t="n">
        <v>4294084</v>
      </c>
      <c r="E236" s="22" t="n">
        <v>6977748</v>
      </c>
      <c r="F236" s="9" t="n">
        <v>0.033</v>
      </c>
      <c r="G236" s="22" t="n">
        <v>1143032</v>
      </c>
      <c r="H236" s="22" t="n">
        <v>4780715</v>
      </c>
      <c r="I236" s="22" t="n">
        <v>14895870</v>
      </c>
      <c r="J236" s="22" t="n">
        <v>36868370</v>
      </c>
      <c r="K236" s="18" t="n">
        <f aca="false">C236+D236+E236+G236+H236+I236</f>
        <v>36868370</v>
      </c>
      <c r="L236" s="23" t="n">
        <f aca="false">K236-J236</f>
        <v>0</v>
      </c>
    </row>
    <row r="237" customFormat="false" ht="15" hidden="false" customHeight="false" outlineLevel="0" collapsed="false">
      <c r="A237" s="6" t="s">
        <v>535</v>
      </c>
      <c r="B237" s="6" t="s">
        <v>524</v>
      </c>
      <c r="C237" s="22" t="n">
        <v>4341382</v>
      </c>
      <c r="D237" s="22" t="n">
        <v>51810</v>
      </c>
      <c r="E237" s="22" t="n">
        <v>1339599</v>
      </c>
      <c r="F237" s="9" t="n">
        <v>0.05</v>
      </c>
      <c r="G237" s="22" t="n">
        <v>249002</v>
      </c>
      <c r="H237" s="22" t="n">
        <v>613076</v>
      </c>
      <c r="I237" s="22" t="n">
        <v>4012902</v>
      </c>
      <c r="J237" s="22" t="n">
        <v>10607771</v>
      </c>
      <c r="K237" s="18" t="n">
        <f aca="false">C237+D237+E237+G237+H237+I237</f>
        <v>10607771</v>
      </c>
      <c r="L237" s="23" t="n">
        <f aca="false">K237-J237</f>
        <v>0</v>
      </c>
    </row>
    <row r="238" customFormat="false" ht="15" hidden="false" customHeight="false" outlineLevel="0" collapsed="false">
      <c r="A238" s="6" t="s">
        <v>536</v>
      </c>
      <c r="B238" s="6" t="s">
        <v>537</v>
      </c>
      <c r="C238" s="22" t="n">
        <v>15941203</v>
      </c>
      <c r="D238" s="22" t="n">
        <v>5779398</v>
      </c>
      <c r="E238" s="22" t="n">
        <v>430356</v>
      </c>
      <c r="F238" s="9" t="n">
        <v>0.03</v>
      </c>
      <c r="G238" s="22" t="n">
        <v>217910</v>
      </c>
      <c r="H238" s="22" t="n">
        <v>568416</v>
      </c>
      <c r="I238" s="22" t="n">
        <v>3580438</v>
      </c>
      <c r="J238" s="22" t="n">
        <v>26517721</v>
      </c>
      <c r="K238" s="18" t="n">
        <f aca="false">C238+D238+E238+G238+H238+I238</f>
        <v>26517721</v>
      </c>
      <c r="L238" s="23" t="n">
        <f aca="false">K238-J238</f>
        <v>0</v>
      </c>
    </row>
    <row r="239" customFormat="false" ht="15" hidden="false" customHeight="false" outlineLevel="0" collapsed="false">
      <c r="A239" s="6" t="s">
        <v>538</v>
      </c>
      <c r="B239" s="6" t="s">
        <v>537</v>
      </c>
      <c r="C239" s="22" t="n">
        <v>5036348</v>
      </c>
      <c r="D239" s="22" t="n">
        <v>3524374</v>
      </c>
      <c r="E239" s="22" t="n">
        <v>824616</v>
      </c>
      <c r="F239" s="9" t="n">
        <v>0.045</v>
      </c>
      <c r="G239" s="22" t="n">
        <v>224512</v>
      </c>
      <c r="H239" s="22" t="n">
        <v>547635</v>
      </c>
      <c r="I239" s="22" t="n">
        <v>2542021</v>
      </c>
      <c r="J239" s="22" t="n">
        <v>12699506</v>
      </c>
      <c r="K239" s="18" t="n">
        <f aca="false">C239+D239+E239+G239+H239+I239</f>
        <v>12699506</v>
      </c>
      <c r="L239" s="23" t="n">
        <f aca="false">K239-J239</f>
        <v>0</v>
      </c>
    </row>
    <row r="240" customFormat="false" ht="15" hidden="false" customHeight="false" outlineLevel="0" collapsed="false">
      <c r="A240" s="6" t="s">
        <v>539</v>
      </c>
      <c r="B240" s="6" t="s">
        <v>537</v>
      </c>
      <c r="C240" s="22" t="n">
        <v>6507888</v>
      </c>
      <c r="D240" s="22" t="n">
        <v>4462608</v>
      </c>
      <c r="E240" s="22" t="n">
        <v>264159</v>
      </c>
      <c r="F240" s="9" t="n">
        <v>0.05</v>
      </c>
      <c r="G240" s="22" t="n">
        <v>114053</v>
      </c>
      <c r="H240" s="22" t="n">
        <v>173351</v>
      </c>
      <c r="I240" s="22" t="n">
        <v>1333268</v>
      </c>
      <c r="J240" s="22" t="n">
        <v>12855327</v>
      </c>
      <c r="K240" s="18" t="n">
        <f aca="false">C240+D240+E240+G240+H240+I240</f>
        <v>12855327</v>
      </c>
      <c r="L240" s="23" t="n">
        <f aca="false">K240-J240</f>
        <v>0</v>
      </c>
    </row>
    <row r="241" customFormat="false" ht="15" hidden="false" customHeight="false" outlineLevel="0" collapsed="false">
      <c r="A241" s="6" t="s">
        <v>540</v>
      </c>
      <c r="B241" s="6" t="s">
        <v>537</v>
      </c>
      <c r="C241" s="22" t="n">
        <v>9804277</v>
      </c>
      <c r="D241" s="22" t="n">
        <v>3702164</v>
      </c>
      <c r="E241" s="22" t="n">
        <v>285573</v>
      </c>
      <c r="F241" s="9" t="n">
        <v>0.02</v>
      </c>
      <c r="G241" s="22" t="n">
        <v>178732</v>
      </c>
      <c r="H241" s="22" t="n">
        <v>528761</v>
      </c>
      <c r="I241" s="22" t="n">
        <v>3527874</v>
      </c>
      <c r="J241" s="22" t="n">
        <v>18027381</v>
      </c>
      <c r="K241" s="18" t="n">
        <f aca="false">C241+D241+E241+G241+H241+I241</f>
        <v>18027381</v>
      </c>
      <c r="L241" s="23" t="n">
        <f aca="false">K241-J241</f>
        <v>0</v>
      </c>
    </row>
    <row r="242" customFormat="false" ht="15" hidden="false" customHeight="false" outlineLevel="0" collapsed="false">
      <c r="A242" s="6" t="s">
        <v>541</v>
      </c>
      <c r="B242" s="6" t="s">
        <v>537</v>
      </c>
      <c r="C242" s="22" t="n">
        <v>7916563</v>
      </c>
      <c r="D242" s="22" t="n">
        <v>3217512</v>
      </c>
      <c r="E242" s="22" t="n">
        <v>134741</v>
      </c>
      <c r="F242" s="9" t="n">
        <v>0.025</v>
      </c>
      <c r="G242" s="22" t="n">
        <v>109681</v>
      </c>
      <c r="H242" s="22" t="n">
        <v>251603</v>
      </c>
      <c r="I242" s="22" t="n">
        <v>1366739</v>
      </c>
      <c r="J242" s="22" t="n">
        <v>12996839</v>
      </c>
      <c r="K242" s="18" t="n">
        <f aca="false">C242+D242+E242+G242+H242+I242</f>
        <v>12996839</v>
      </c>
      <c r="L242" s="23" t="n">
        <f aca="false">K242-J242</f>
        <v>0</v>
      </c>
    </row>
    <row r="243" customFormat="false" ht="15" hidden="false" customHeight="false" outlineLevel="0" collapsed="false">
      <c r="A243" s="6" t="s">
        <v>542</v>
      </c>
      <c r="B243" s="6" t="s">
        <v>537</v>
      </c>
      <c r="C243" s="22" t="n">
        <v>6649885</v>
      </c>
      <c r="D243" s="22" t="n">
        <v>3648507</v>
      </c>
      <c r="E243" s="22" t="n">
        <v>266070</v>
      </c>
      <c r="F243" s="9" t="n">
        <v>0.04</v>
      </c>
      <c r="G243" s="22" t="n">
        <v>139884</v>
      </c>
      <c r="H243" s="22" t="n">
        <v>334500</v>
      </c>
      <c r="I243" s="22" t="n">
        <v>3163353</v>
      </c>
      <c r="J243" s="22" t="n">
        <v>14202199</v>
      </c>
      <c r="K243" s="18" t="n">
        <f aca="false">C243+D243+E243+G243+H243+I243</f>
        <v>14202199</v>
      </c>
      <c r="L243" s="23" t="n">
        <f aca="false">K243-J243</f>
        <v>0</v>
      </c>
    </row>
    <row r="244" customFormat="false" ht="15" hidden="false" customHeight="false" outlineLevel="0" collapsed="false">
      <c r="A244" s="6" t="s">
        <v>543</v>
      </c>
      <c r="B244" s="6" t="s">
        <v>537</v>
      </c>
      <c r="C244" s="22" t="n">
        <v>17231734</v>
      </c>
      <c r="D244" s="22" t="n">
        <v>5254869</v>
      </c>
      <c r="E244" s="22" t="n">
        <v>0</v>
      </c>
      <c r="F244" s="9" t="n">
        <v>0</v>
      </c>
      <c r="G244" s="22" t="n">
        <v>404627</v>
      </c>
      <c r="H244" s="22" t="n">
        <v>1501414</v>
      </c>
      <c r="I244" s="22" t="n">
        <v>7831872</v>
      </c>
      <c r="J244" s="22" t="n">
        <v>32224516</v>
      </c>
      <c r="K244" s="18" t="n">
        <f aca="false">C244+D244+E244+G244+H244+I244</f>
        <v>32224516</v>
      </c>
      <c r="L244" s="23" t="n">
        <f aca="false">K244-J244</f>
        <v>0</v>
      </c>
    </row>
    <row r="245" customFormat="false" ht="15" hidden="false" customHeight="false" outlineLevel="0" collapsed="false">
      <c r="A245" s="6" t="s">
        <v>544</v>
      </c>
      <c r="B245" s="6" t="s">
        <v>537</v>
      </c>
      <c r="C245" s="22" t="n">
        <v>6745424</v>
      </c>
      <c r="D245" s="22" t="n">
        <v>2601153</v>
      </c>
      <c r="E245" s="22" t="n">
        <v>0</v>
      </c>
      <c r="F245" s="9" t="n">
        <v>0</v>
      </c>
      <c r="G245" s="22" t="n">
        <v>183268</v>
      </c>
      <c r="H245" s="22" t="n">
        <v>536688</v>
      </c>
      <c r="I245" s="22" t="n">
        <v>2426108</v>
      </c>
      <c r="J245" s="22" t="n">
        <v>12492641</v>
      </c>
      <c r="K245" s="18" t="n">
        <f aca="false">C245+D245+E245+G245+H245+I245</f>
        <v>12492641</v>
      </c>
      <c r="L245" s="23" t="n">
        <f aca="false">K245-J245</f>
        <v>0</v>
      </c>
    </row>
    <row r="246" customFormat="false" ht="15" hidden="false" customHeight="false" outlineLevel="0" collapsed="false">
      <c r="A246" s="6" t="s">
        <v>537</v>
      </c>
      <c r="B246" s="6" t="s">
        <v>537</v>
      </c>
      <c r="C246" s="22" t="n">
        <v>9021304</v>
      </c>
      <c r="D246" s="22" t="n">
        <v>9811825</v>
      </c>
      <c r="E246" s="22" t="n">
        <v>5304995</v>
      </c>
      <c r="F246" s="9" t="n">
        <v>0.05</v>
      </c>
      <c r="G246" s="22" t="n">
        <v>777124</v>
      </c>
      <c r="H246" s="22" t="n">
        <v>3008748</v>
      </c>
      <c r="I246" s="22" t="n">
        <v>11322388</v>
      </c>
      <c r="J246" s="22" t="n">
        <v>39246384</v>
      </c>
      <c r="K246" s="18" t="n">
        <f aca="false">C246+D246+E246+G246+H246+I246</f>
        <v>39246384</v>
      </c>
      <c r="L246" s="23" t="n">
        <f aca="false">K246-J246</f>
        <v>0</v>
      </c>
    </row>
    <row r="247" customFormat="false" ht="15" hidden="false" customHeight="false" outlineLevel="0" collapsed="false">
      <c r="A247" s="6" t="s">
        <v>545</v>
      </c>
      <c r="B247" s="6" t="s">
        <v>537</v>
      </c>
      <c r="C247" s="22" t="n">
        <v>5869313</v>
      </c>
      <c r="D247" s="22" t="n">
        <v>4227759</v>
      </c>
      <c r="E247" s="22" t="n">
        <v>230338</v>
      </c>
      <c r="F247" s="9" t="n">
        <v>0.03</v>
      </c>
      <c r="G247" s="22" t="n">
        <v>161543</v>
      </c>
      <c r="H247" s="22" t="n">
        <v>347196</v>
      </c>
      <c r="I247" s="22" t="n">
        <v>1347116</v>
      </c>
      <c r="J247" s="22" t="n">
        <v>12183265</v>
      </c>
      <c r="K247" s="18" t="n">
        <f aca="false">C247+D247+E247+G247+H247+I247</f>
        <v>12183265</v>
      </c>
      <c r="L247" s="23" t="n">
        <f aca="false">K247-J247</f>
        <v>0</v>
      </c>
    </row>
    <row r="248" customFormat="false" ht="15" hidden="false" customHeight="false" outlineLevel="0" collapsed="false">
      <c r="A248" s="6" t="s">
        <v>546</v>
      </c>
      <c r="B248" s="6" t="s">
        <v>547</v>
      </c>
      <c r="C248" s="22" t="n">
        <v>8987762</v>
      </c>
      <c r="D248" s="22" t="n">
        <v>3167320</v>
      </c>
      <c r="E248" s="22" t="n">
        <v>0</v>
      </c>
      <c r="F248" s="9" t="n">
        <v>0</v>
      </c>
      <c r="G248" s="22" t="n">
        <v>144308</v>
      </c>
      <c r="H248" s="22" t="n">
        <v>237304</v>
      </c>
      <c r="I248" s="22" t="n">
        <v>2364730</v>
      </c>
      <c r="J248" s="22" t="n">
        <v>14901424</v>
      </c>
      <c r="K248" s="18" t="n">
        <f aca="false">C248+D248+E248+G248+H248+I248</f>
        <v>14901424</v>
      </c>
      <c r="L248" s="23" t="n">
        <f aca="false">K248-J248</f>
        <v>0</v>
      </c>
    </row>
    <row r="249" customFormat="false" ht="15" hidden="false" customHeight="false" outlineLevel="0" collapsed="false">
      <c r="A249" s="6" t="s">
        <v>548</v>
      </c>
      <c r="B249" s="6" t="s">
        <v>547</v>
      </c>
      <c r="C249" s="22" t="n">
        <v>7160615</v>
      </c>
      <c r="D249" s="22" t="n">
        <v>2824861</v>
      </c>
      <c r="E249" s="22" t="n">
        <v>0</v>
      </c>
      <c r="F249" s="9" t="n">
        <v>0</v>
      </c>
      <c r="G249" s="22" t="n">
        <v>88029</v>
      </c>
      <c r="H249" s="22" t="n">
        <v>123987</v>
      </c>
      <c r="I249" s="22" t="n">
        <v>1357170</v>
      </c>
      <c r="J249" s="22" t="n">
        <v>11554662</v>
      </c>
      <c r="K249" s="18" t="n">
        <f aca="false">C249+D249+E249+G249+H249+I249</f>
        <v>11554662</v>
      </c>
      <c r="L249" s="23" t="n">
        <f aca="false">K249-J249</f>
        <v>0</v>
      </c>
    </row>
    <row r="250" customFormat="false" ht="15" hidden="false" customHeight="false" outlineLevel="0" collapsed="false">
      <c r="A250" s="6" t="s">
        <v>549</v>
      </c>
      <c r="B250" s="6" t="s">
        <v>547</v>
      </c>
      <c r="C250" s="22" t="n">
        <v>17707174</v>
      </c>
      <c r="D250" s="22" t="n">
        <v>5339103</v>
      </c>
      <c r="E250" s="22" t="n">
        <v>1791708</v>
      </c>
      <c r="F250" s="9" t="n">
        <v>0.05</v>
      </c>
      <c r="G250" s="22" t="n">
        <v>353214</v>
      </c>
      <c r="H250" s="22" t="n">
        <v>1076387</v>
      </c>
      <c r="I250" s="22" t="n">
        <v>6727191</v>
      </c>
      <c r="J250" s="22" t="n">
        <v>32994777</v>
      </c>
      <c r="K250" s="18" t="n">
        <f aca="false">C250+D250+E250+G250+H250+I250</f>
        <v>32994777</v>
      </c>
      <c r="L250" s="23" t="n">
        <f aca="false">K250-J250</f>
        <v>0</v>
      </c>
    </row>
    <row r="251" customFormat="false" ht="15" hidden="false" customHeight="false" outlineLevel="0" collapsed="false">
      <c r="A251" s="6" t="s">
        <v>550</v>
      </c>
      <c r="B251" s="6" t="s">
        <v>547</v>
      </c>
      <c r="C251" s="22" t="n">
        <v>3524632</v>
      </c>
      <c r="D251" s="22" t="n">
        <v>1862742</v>
      </c>
      <c r="E251" s="22" t="n">
        <v>51286</v>
      </c>
      <c r="F251" s="9" t="n">
        <v>0.03</v>
      </c>
      <c r="G251" s="22" t="n">
        <v>77534</v>
      </c>
      <c r="H251" s="22" t="n">
        <v>131152</v>
      </c>
      <c r="I251" s="22" t="n">
        <v>1291639</v>
      </c>
      <c r="J251" s="22" t="n">
        <v>6938985</v>
      </c>
      <c r="K251" s="18" t="n">
        <f aca="false">C251+D251+E251+G251+H251+I251</f>
        <v>6938985</v>
      </c>
      <c r="L251" s="23" t="n">
        <f aca="false">K251-J251</f>
        <v>0</v>
      </c>
    </row>
    <row r="252" customFormat="false" ht="15" hidden="false" customHeight="false" outlineLevel="0" collapsed="false">
      <c r="A252" s="6" t="s">
        <v>551</v>
      </c>
      <c r="B252" s="6" t="s">
        <v>547</v>
      </c>
      <c r="C252" s="22" t="n">
        <v>6310892</v>
      </c>
      <c r="D252" s="22" t="n">
        <v>3396294</v>
      </c>
      <c r="E252" s="22" t="n">
        <v>84819</v>
      </c>
      <c r="F252" s="9" t="n">
        <v>0.025</v>
      </c>
      <c r="G252" s="22" t="n">
        <v>100114</v>
      </c>
      <c r="H252" s="22" t="n">
        <v>180498</v>
      </c>
      <c r="I252" s="22" t="n">
        <v>1306446</v>
      </c>
      <c r="J252" s="22" t="n">
        <v>11379063</v>
      </c>
      <c r="K252" s="18" t="n">
        <f aca="false">C252+D252+E252+G252+H252+I252</f>
        <v>11379063</v>
      </c>
      <c r="L252" s="23" t="n">
        <f aca="false">K252-J252</f>
        <v>0</v>
      </c>
    </row>
    <row r="253" customFormat="false" ht="15" hidden="false" customHeight="false" outlineLevel="0" collapsed="false">
      <c r="A253" s="6" t="s">
        <v>552</v>
      </c>
      <c r="B253" s="6" t="s">
        <v>547</v>
      </c>
      <c r="C253" s="22" t="n">
        <v>11239226</v>
      </c>
      <c r="D253" s="22" t="n">
        <v>6429677</v>
      </c>
      <c r="E253" s="22" t="n">
        <v>0</v>
      </c>
      <c r="F253" s="9" t="n">
        <v>0</v>
      </c>
      <c r="G253" s="22" t="n">
        <v>117338</v>
      </c>
      <c r="H253" s="22" t="n">
        <v>220576</v>
      </c>
      <c r="I253" s="22" t="n">
        <v>3674552</v>
      </c>
      <c r="J253" s="22" t="n">
        <v>21681369</v>
      </c>
      <c r="K253" s="18" t="n">
        <f aca="false">C253+D253+E253+G253+H253+I253</f>
        <v>21681369</v>
      </c>
      <c r="L253" s="23" t="n">
        <f aca="false">K253-J253</f>
        <v>0</v>
      </c>
    </row>
    <row r="254" customFormat="false" ht="15" hidden="false" customHeight="false" outlineLevel="0" collapsed="false">
      <c r="A254" s="6" t="s">
        <v>553</v>
      </c>
      <c r="B254" s="6" t="s">
        <v>547</v>
      </c>
      <c r="C254" s="22" t="n">
        <v>5727429</v>
      </c>
      <c r="D254" s="22" t="n">
        <v>2207439</v>
      </c>
      <c r="E254" s="22" t="n">
        <v>79796</v>
      </c>
      <c r="F254" s="9" t="n">
        <v>0.025</v>
      </c>
      <c r="G254" s="22" t="n">
        <v>87944</v>
      </c>
      <c r="H254" s="22" t="n">
        <v>140311</v>
      </c>
      <c r="I254" s="22" t="n">
        <v>1426858</v>
      </c>
      <c r="J254" s="22" t="n">
        <v>9669777</v>
      </c>
      <c r="K254" s="18" t="n">
        <f aca="false">C254+D254+E254+G254+H254+I254</f>
        <v>9669777</v>
      </c>
      <c r="L254" s="23" t="n">
        <f aca="false">K254-J254</f>
        <v>0</v>
      </c>
    </row>
    <row r="255" customFormat="false" ht="15" hidden="false" customHeight="false" outlineLevel="0" collapsed="false">
      <c r="A255" s="6" t="s">
        <v>554</v>
      </c>
      <c r="B255" s="6" t="s">
        <v>547</v>
      </c>
      <c r="C255" s="22" t="n">
        <v>9437826</v>
      </c>
      <c r="D255" s="22" t="n">
        <v>2689379</v>
      </c>
      <c r="E255" s="22" t="n">
        <v>555193</v>
      </c>
      <c r="F255" s="9" t="n">
        <v>0.05</v>
      </c>
      <c r="G255" s="22" t="n">
        <v>188077</v>
      </c>
      <c r="H255" s="22" t="n">
        <v>447451</v>
      </c>
      <c r="I255" s="22" t="n">
        <v>3922930</v>
      </c>
      <c r="J255" s="22" t="n">
        <v>17240856</v>
      </c>
      <c r="K255" s="18" t="n">
        <f aca="false">C255+D255+E255+G255+H255+I255</f>
        <v>17240856</v>
      </c>
      <c r="L255" s="23" t="n">
        <f aca="false">K255-J255</f>
        <v>0</v>
      </c>
    </row>
    <row r="256" customFormat="false" ht="15" hidden="false" customHeight="false" outlineLevel="0" collapsed="false">
      <c r="A256" s="6" t="s">
        <v>555</v>
      </c>
      <c r="B256" s="6" t="s">
        <v>547</v>
      </c>
      <c r="C256" s="22" t="n">
        <v>6702846</v>
      </c>
      <c r="D256" s="22" t="n">
        <v>2343172</v>
      </c>
      <c r="E256" s="22" t="n">
        <v>143383</v>
      </c>
      <c r="F256" s="9" t="n">
        <v>0.05</v>
      </c>
      <c r="G256" s="22" t="n">
        <v>92733</v>
      </c>
      <c r="H256" s="22" t="n">
        <v>182018</v>
      </c>
      <c r="I256" s="22" t="n">
        <v>1861192</v>
      </c>
      <c r="J256" s="22" t="n">
        <v>11325344</v>
      </c>
      <c r="K256" s="18" t="n">
        <f aca="false">C256+D256+E256+G256+H256+I256</f>
        <v>11325344</v>
      </c>
      <c r="L256" s="23" t="n">
        <f aca="false">K256-J256</f>
        <v>0</v>
      </c>
    </row>
    <row r="257" customFormat="false" ht="15" hidden="false" customHeight="false" outlineLevel="0" collapsed="false">
      <c r="A257" s="6" t="s">
        <v>556</v>
      </c>
      <c r="B257" s="6" t="s">
        <v>547</v>
      </c>
      <c r="C257" s="22" t="n">
        <v>5694819</v>
      </c>
      <c r="D257" s="22" t="n">
        <v>2771472</v>
      </c>
      <c r="E257" s="22" t="n">
        <v>0</v>
      </c>
      <c r="F257" s="9" t="n">
        <v>0</v>
      </c>
      <c r="G257" s="22" t="n">
        <v>95450</v>
      </c>
      <c r="H257" s="22" t="n">
        <v>135041</v>
      </c>
      <c r="I257" s="22" t="n">
        <v>1263741</v>
      </c>
      <c r="J257" s="22" t="n">
        <v>9960523</v>
      </c>
      <c r="K257" s="18" t="n">
        <f aca="false">C257+D257+E257+G257+H257+I257</f>
        <v>9960523</v>
      </c>
      <c r="L257" s="23" t="n">
        <f aca="false">K257-J257</f>
        <v>0</v>
      </c>
    </row>
    <row r="258" customFormat="false" ht="15" hidden="false" customHeight="false" outlineLevel="0" collapsed="false">
      <c r="A258" s="6" t="s">
        <v>557</v>
      </c>
      <c r="B258" s="6" t="s">
        <v>547</v>
      </c>
      <c r="C258" s="22" t="n">
        <v>5321682</v>
      </c>
      <c r="D258" s="22" t="n">
        <v>2022752</v>
      </c>
      <c r="E258" s="22" t="n">
        <v>15630</v>
      </c>
      <c r="F258" s="9" t="n">
        <v>0.005</v>
      </c>
      <c r="G258" s="22" t="n">
        <v>91001</v>
      </c>
      <c r="H258" s="22" t="n">
        <v>127378</v>
      </c>
      <c r="I258" s="22" t="n">
        <v>1202721</v>
      </c>
      <c r="J258" s="22" t="n">
        <v>8781164</v>
      </c>
      <c r="K258" s="18" t="n">
        <f aca="false">C258+D258+E258+G258+H258+I258</f>
        <v>8781164</v>
      </c>
      <c r="L258" s="23" t="n">
        <f aca="false">K258-J258</f>
        <v>0</v>
      </c>
    </row>
    <row r="259" customFormat="false" ht="15" hidden="false" customHeight="false" outlineLevel="0" collapsed="false">
      <c r="A259" s="6" t="s">
        <v>558</v>
      </c>
      <c r="B259" s="6" t="s">
        <v>547</v>
      </c>
      <c r="C259" s="22" t="n">
        <v>12622822</v>
      </c>
      <c r="D259" s="22" t="n">
        <v>4476261</v>
      </c>
      <c r="E259" s="22" t="n">
        <v>376054</v>
      </c>
      <c r="F259" s="9" t="n">
        <v>0.05</v>
      </c>
      <c r="G259" s="22" t="n">
        <v>145745</v>
      </c>
      <c r="H259" s="22" t="n">
        <v>360350</v>
      </c>
      <c r="I259" s="22" t="n">
        <v>3015885</v>
      </c>
      <c r="J259" s="22" t="n">
        <v>20997117</v>
      </c>
      <c r="K259" s="18" t="n">
        <f aca="false">C259+D259+E259+G259+H259+I259</f>
        <v>20997117</v>
      </c>
      <c r="L259" s="23" t="n">
        <f aca="false">K259-J259</f>
        <v>0</v>
      </c>
    </row>
    <row r="260" customFormat="false" ht="15" hidden="false" customHeight="false" outlineLevel="0" collapsed="false">
      <c r="A260" s="6" t="s">
        <v>559</v>
      </c>
      <c r="B260" s="6" t="s">
        <v>547</v>
      </c>
      <c r="C260" s="22" t="n">
        <v>10130769</v>
      </c>
      <c r="D260" s="22" t="n">
        <v>3624061</v>
      </c>
      <c r="E260" s="22" t="n">
        <v>185204</v>
      </c>
      <c r="F260" s="9" t="n">
        <v>0.025</v>
      </c>
      <c r="G260" s="22" t="n">
        <v>127126</v>
      </c>
      <c r="H260" s="22" t="n">
        <v>317362</v>
      </c>
      <c r="I260" s="22" t="n">
        <v>2133090</v>
      </c>
      <c r="J260" s="22" t="n">
        <v>16517612</v>
      </c>
      <c r="K260" s="18" t="n">
        <f aca="false">C260+D260+E260+G260+H260+I260</f>
        <v>16517612</v>
      </c>
      <c r="L260" s="23" t="n">
        <f aca="false">K260-J260</f>
        <v>0</v>
      </c>
    </row>
    <row r="261" customFormat="false" ht="15" hidden="false" customHeight="false" outlineLevel="0" collapsed="false">
      <c r="A261" s="6" t="s">
        <v>547</v>
      </c>
      <c r="B261" s="6" t="s">
        <v>547</v>
      </c>
      <c r="C261" s="22" t="n">
        <v>13897407</v>
      </c>
      <c r="D261" s="22" t="n">
        <v>4947397</v>
      </c>
      <c r="E261" s="22" t="n">
        <v>3136952</v>
      </c>
      <c r="F261" s="9" t="n">
        <v>0.045</v>
      </c>
      <c r="G261" s="22" t="n">
        <v>444448</v>
      </c>
      <c r="H261" s="22" t="n">
        <v>1754644</v>
      </c>
      <c r="I261" s="22" t="n">
        <v>8604365</v>
      </c>
      <c r="J261" s="22" t="n">
        <v>32785213</v>
      </c>
      <c r="K261" s="18" t="n">
        <f aca="false">C261+D261+E261+G261+H261+I261</f>
        <v>32785213</v>
      </c>
      <c r="L261" s="23" t="n">
        <f aca="false">K261-J261</f>
        <v>0</v>
      </c>
    </row>
    <row r="262" customFormat="false" ht="15" hidden="false" customHeight="false" outlineLevel="0" collapsed="false">
      <c r="A262" s="6" t="s">
        <v>560</v>
      </c>
      <c r="B262" s="6" t="s">
        <v>561</v>
      </c>
      <c r="C262" s="22" t="n">
        <v>5263855</v>
      </c>
      <c r="D262" s="22" t="n">
        <v>2782156</v>
      </c>
      <c r="E262" s="22" t="n">
        <v>32682</v>
      </c>
      <c r="F262" s="9" t="n">
        <v>0.01</v>
      </c>
      <c r="G262" s="22" t="n">
        <v>110819</v>
      </c>
      <c r="H262" s="22" t="n">
        <v>154877</v>
      </c>
      <c r="I262" s="22" t="n">
        <v>2266186</v>
      </c>
      <c r="J262" s="22" t="n">
        <v>10610575</v>
      </c>
      <c r="K262" s="18" t="n">
        <f aca="false">C262+D262+E262+G262+H262+I262</f>
        <v>10610575</v>
      </c>
      <c r="L262" s="23" t="n">
        <f aca="false">K262-J262</f>
        <v>0</v>
      </c>
    </row>
    <row r="263" customFormat="false" ht="15" hidden="false" customHeight="false" outlineLevel="0" collapsed="false">
      <c r="A263" s="6" t="s">
        <v>562</v>
      </c>
      <c r="B263" s="6" t="s">
        <v>561</v>
      </c>
      <c r="C263" s="22" t="n">
        <v>5156201</v>
      </c>
      <c r="D263" s="22" t="n">
        <v>1438881</v>
      </c>
      <c r="E263" s="22" t="n">
        <v>332315</v>
      </c>
      <c r="F263" s="9" t="n">
        <v>0.05</v>
      </c>
      <c r="G263" s="22" t="n">
        <v>179729</v>
      </c>
      <c r="H263" s="22" t="n">
        <v>335787</v>
      </c>
      <c r="I263" s="22" t="n">
        <v>2468873</v>
      </c>
      <c r="J263" s="22" t="n">
        <v>9911786</v>
      </c>
      <c r="K263" s="18" t="n">
        <f aca="false">C263+D263+E263+G263+H263+I263</f>
        <v>9911786</v>
      </c>
      <c r="L263" s="23" t="n">
        <f aca="false">K263-J263</f>
        <v>0</v>
      </c>
    </row>
    <row r="264" customFormat="false" ht="15" hidden="false" customHeight="false" outlineLevel="0" collapsed="false">
      <c r="A264" s="6" t="s">
        <v>563</v>
      </c>
      <c r="B264" s="6" t="s">
        <v>561</v>
      </c>
      <c r="C264" s="22" t="n">
        <v>10627869</v>
      </c>
      <c r="D264" s="22" t="n">
        <v>3820651</v>
      </c>
      <c r="E264" s="22" t="n">
        <v>231397</v>
      </c>
      <c r="F264" s="9" t="n">
        <v>0.03</v>
      </c>
      <c r="G264" s="22" t="n">
        <v>143917</v>
      </c>
      <c r="H264" s="22" t="n">
        <v>415002</v>
      </c>
      <c r="I264" s="22" t="n">
        <v>2663217</v>
      </c>
      <c r="J264" s="22" t="n">
        <v>17902053</v>
      </c>
      <c r="K264" s="18" t="n">
        <f aca="false">C264+D264+E264+G264+H264+I264</f>
        <v>17902053</v>
      </c>
      <c r="L264" s="23" t="n">
        <f aca="false">K264-J264</f>
        <v>0</v>
      </c>
    </row>
    <row r="265" customFormat="false" ht="15" hidden="false" customHeight="false" outlineLevel="0" collapsed="false">
      <c r="A265" s="6" t="s">
        <v>564</v>
      </c>
      <c r="B265" s="6" t="s">
        <v>561</v>
      </c>
      <c r="C265" s="22" t="n">
        <v>12740133</v>
      </c>
      <c r="D265" s="22" t="n">
        <v>3556874</v>
      </c>
      <c r="E265" s="22" t="n">
        <v>232589</v>
      </c>
      <c r="F265" s="9" t="n">
        <v>0.03</v>
      </c>
      <c r="G265" s="22" t="n">
        <v>169029</v>
      </c>
      <c r="H265" s="22" t="n">
        <v>580503</v>
      </c>
      <c r="I265" s="22" t="n">
        <v>5197996</v>
      </c>
      <c r="J265" s="22" t="n">
        <v>22477124</v>
      </c>
      <c r="K265" s="18" t="n">
        <f aca="false">C265+D265+E265+G265+H265+I265</f>
        <v>22477124</v>
      </c>
      <c r="L265" s="23" t="n">
        <f aca="false">K265-J265</f>
        <v>0</v>
      </c>
    </row>
    <row r="266" customFormat="false" ht="15" hidden="false" customHeight="false" outlineLevel="0" collapsed="false">
      <c r="A266" s="6" t="s">
        <v>565</v>
      </c>
      <c r="B266" s="6" t="s">
        <v>561</v>
      </c>
      <c r="C266" s="22" t="n">
        <v>12351183</v>
      </c>
      <c r="D266" s="22" t="n">
        <v>3646179</v>
      </c>
      <c r="E266" s="22" t="n">
        <v>954754</v>
      </c>
      <c r="F266" s="9" t="n">
        <v>0.04</v>
      </c>
      <c r="G266" s="22" t="n">
        <v>387290</v>
      </c>
      <c r="H266" s="22" t="n">
        <v>703485</v>
      </c>
      <c r="I266" s="22" t="n">
        <v>4702299</v>
      </c>
      <c r="J266" s="22" t="n">
        <v>22745190</v>
      </c>
      <c r="K266" s="18" t="n">
        <f aca="false">C266+D266+E266+G266+H266+I266</f>
        <v>22745190</v>
      </c>
      <c r="L266" s="23" t="n">
        <f aca="false">K266-J266</f>
        <v>0</v>
      </c>
    </row>
    <row r="267" customFormat="false" ht="15" hidden="false" customHeight="false" outlineLevel="0" collapsed="false">
      <c r="A267" s="6" t="s">
        <v>566</v>
      </c>
      <c r="B267" s="6" t="s">
        <v>561</v>
      </c>
      <c r="C267" s="22" t="n">
        <v>8962822</v>
      </c>
      <c r="D267" s="22" t="n">
        <v>2688709</v>
      </c>
      <c r="E267" s="22" t="n">
        <v>632860</v>
      </c>
      <c r="F267" s="9" t="n">
        <v>0.04</v>
      </c>
      <c r="G267" s="22" t="n">
        <v>173750</v>
      </c>
      <c r="H267" s="22" t="n">
        <v>665250</v>
      </c>
      <c r="I267" s="22" t="n">
        <v>2969491</v>
      </c>
      <c r="J267" s="22" t="n">
        <v>16092882</v>
      </c>
      <c r="K267" s="18" t="n">
        <f aca="false">C267+D267+E267+G267+H267+I267</f>
        <v>16092882</v>
      </c>
      <c r="L267" s="23" t="n">
        <f aca="false">K267-J267</f>
        <v>0</v>
      </c>
    </row>
    <row r="268" customFormat="false" ht="15" hidden="false" customHeight="false" outlineLevel="0" collapsed="false">
      <c r="A268" s="6" t="s">
        <v>567</v>
      </c>
      <c r="B268" s="6" t="s">
        <v>561</v>
      </c>
      <c r="C268" s="22" t="n">
        <v>7463975</v>
      </c>
      <c r="D268" s="22" t="n">
        <v>2706393</v>
      </c>
      <c r="E268" s="22" t="n">
        <v>203853</v>
      </c>
      <c r="F268" s="9" t="n">
        <v>0.03</v>
      </c>
      <c r="G268" s="22" t="n">
        <v>115532</v>
      </c>
      <c r="H268" s="22" t="n">
        <v>333857</v>
      </c>
      <c r="I268" s="22" t="n">
        <v>3593567</v>
      </c>
      <c r="J268" s="22" t="n">
        <v>14417177</v>
      </c>
      <c r="K268" s="18" t="n">
        <f aca="false">C268+D268+E268+G268+H268+I268</f>
        <v>14417177</v>
      </c>
      <c r="L268" s="23" t="n">
        <f aca="false">K268-J268</f>
        <v>0</v>
      </c>
    </row>
    <row r="269" customFormat="false" ht="15" hidden="false" customHeight="false" outlineLevel="0" collapsed="false">
      <c r="A269" s="6" t="s">
        <v>568</v>
      </c>
      <c r="B269" s="6" t="s">
        <v>561</v>
      </c>
      <c r="C269" s="22" t="n">
        <v>6452517</v>
      </c>
      <c r="D269" s="22" t="n">
        <v>2620254</v>
      </c>
      <c r="E269" s="22" t="n">
        <v>0</v>
      </c>
      <c r="F269" s="9" t="n">
        <v>0</v>
      </c>
      <c r="G269" s="22" t="n">
        <v>134084</v>
      </c>
      <c r="H269" s="22" t="n">
        <v>282116</v>
      </c>
      <c r="I269" s="22" t="n">
        <v>2035642</v>
      </c>
      <c r="J269" s="22" t="n">
        <v>11524613</v>
      </c>
      <c r="K269" s="18" t="n">
        <f aca="false">C269+D269+E269+G269+H269+I269</f>
        <v>11524613</v>
      </c>
      <c r="L269" s="23" t="n">
        <f aca="false">K269-J269</f>
        <v>0</v>
      </c>
    </row>
    <row r="270" customFormat="false" ht="15" hidden="false" customHeight="false" outlineLevel="0" collapsed="false">
      <c r="A270" s="6" t="s">
        <v>569</v>
      </c>
      <c r="B270" s="6" t="s">
        <v>561</v>
      </c>
      <c r="C270" s="22" t="n">
        <v>6171070</v>
      </c>
      <c r="D270" s="22" t="n">
        <v>1849607</v>
      </c>
      <c r="E270" s="22" t="n">
        <v>514481</v>
      </c>
      <c r="F270" s="9" t="n">
        <v>0.04</v>
      </c>
      <c r="G270" s="22" t="n">
        <v>157218</v>
      </c>
      <c r="H270" s="22" t="n">
        <v>472892</v>
      </c>
      <c r="I270" s="22" t="n">
        <v>2727460</v>
      </c>
      <c r="J270" s="22" t="n">
        <v>11892728</v>
      </c>
      <c r="K270" s="18" t="n">
        <f aca="false">C270+D270+E270+G270+H270+I270</f>
        <v>11892728</v>
      </c>
      <c r="L270" s="23" t="n">
        <f aca="false">K270-J270</f>
        <v>0</v>
      </c>
    </row>
    <row r="271" customFormat="false" ht="15" hidden="false" customHeight="false" outlineLevel="0" collapsed="false">
      <c r="A271" s="6" t="s">
        <v>570</v>
      </c>
      <c r="B271" s="6" t="s">
        <v>561</v>
      </c>
      <c r="C271" s="22" t="n">
        <v>5291219</v>
      </c>
      <c r="D271" s="22" t="n">
        <v>2978128</v>
      </c>
      <c r="E271" s="22" t="n">
        <v>389296</v>
      </c>
      <c r="F271" s="9" t="n">
        <v>0.05</v>
      </c>
      <c r="G271" s="22" t="n">
        <v>127552</v>
      </c>
      <c r="H271" s="22" t="n">
        <v>369627</v>
      </c>
      <c r="I271" s="22" t="n">
        <v>1733487</v>
      </c>
      <c r="J271" s="22" t="n">
        <v>10889309</v>
      </c>
      <c r="K271" s="18" t="n">
        <f aca="false">C271+D271+E271+G271+H271+I271</f>
        <v>10889309</v>
      </c>
      <c r="L271" s="23" t="n">
        <f aca="false">K271-J271</f>
        <v>0</v>
      </c>
    </row>
    <row r="272" customFormat="false" ht="15" hidden="false" customHeight="false" outlineLevel="0" collapsed="false">
      <c r="A272" s="6" t="s">
        <v>571</v>
      </c>
      <c r="B272" s="6" t="s">
        <v>561</v>
      </c>
      <c r="C272" s="22" t="n">
        <v>6754439</v>
      </c>
      <c r="D272" s="22" t="n">
        <v>2402386</v>
      </c>
      <c r="E272" s="22" t="n">
        <v>170543</v>
      </c>
      <c r="F272" s="9" t="n">
        <v>0.04</v>
      </c>
      <c r="G272" s="22" t="n">
        <v>99804</v>
      </c>
      <c r="H272" s="22" t="n">
        <v>234053</v>
      </c>
      <c r="I272" s="22" t="n">
        <v>1606075</v>
      </c>
      <c r="J272" s="22" t="n">
        <v>11267300</v>
      </c>
      <c r="K272" s="18" t="n">
        <f aca="false">C272+D272+E272+G272+H272+I272</f>
        <v>11267300</v>
      </c>
      <c r="L272" s="23" t="n">
        <f aca="false">K272-J272</f>
        <v>0</v>
      </c>
    </row>
    <row r="273" customFormat="false" ht="15" hidden="false" customHeight="false" outlineLevel="0" collapsed="false">
      <c r="A273" s="6" t="s">
        <v>572</v>
      </c>
      <c r="B273" s="6" t="s">
        <v>561</v>
      </c>
      <c r="C273" s="22" t="n">
        <v>4275564</v>
      </c>
      <c r="D273" s="22" t="n">
        <v>2836219</v>
      </c>
      <c r="E273" s="22" t="n">
        <v>0</v>
      </c>
      <c r="F273" s="9" t="n">
        <v>0</v>
      </c>
      <c r="G273" s="22" t="n">
        <v>69638</v>
      </c>
      <c r="H273" s="22" t="n">
        <v>67658</v>
      </c>
      <c r="I273" s="22" t="n">
        <v>1013250</v>
      </c>
      <c r="J273" s="22" t="n">
        <v>8262329</v>
      </c>
      <c r="K273" s="18" t="n">
        <f aca="false">C273+D273+E273+G273+H273+I273</f>
        <v>8262329</v>
      </c>
      <c r="L273" s="23" t="n">
        <f aca="false">K273-J273</f>
        <v>0</v>
      </c>
    </row>
    <row r="274" customFormat="false" ht="15" hidden="false" customHeight="false" outlineLevel="0" collapsed="false">
      <c r="A274" s="6" t="s">
        <v>573</v>
      </c>
      <c r="B274" s="6" t="s">
        <v>561</v>
      </c>
      <c r="C274" s="22" t="n">
        <v>9015440</v>
      </c>
      <c r="D274" s="22" t="n">
        <v>3206629</v>
      </c>
      <c r="E274" s="22" t="n">
        <v>0</v>
      </c>
      <c r="F274" s="9" t="n">
        <v>0</v>
      </c>
      <c r="G274" s="22" t="n">
        <v>109701</v>
      </c>
      <c r="H274" s="22" t="n">
        <v>315323</v>
      </c>
      <c r="I274" s="22" t="n">
        <v>3592375</v>
      </c>
      <c r="J274" s="22" t="n">
        <v>16239468</v>
      </c>
      <c r="K274" s="18" t="n">
        <f aca="false">C274+D274+E274+G274+H274+I274</f>
        <v>16239468</v>
      </c>
      <c r="L274" s="23" t="n">
        <f aca="false">K274-J274</f>
        <v>0</v>
      </c>
    </row>
    <row r="275" customFormat="false" ht="15" hidden="false" customHeight="false" outlineLevel="0" collapsed="false">
      <c r="A275" s="6" t="s">
        <v>574</v>
      </c>
      <c r="B275" s="6" t="s">
        <v>561</v>
      </c>
      <c r="C275" s="22" t="n">
        <v>5415180</v>
      </c>
      <c r="D275" s="22" t="n">
        <v>1568703</v>
      </c>
      <c r="E275" s="22" t="n">
        <v>370064</v>
      </c>
      <c r="F275" s="9" t="n">
        <v>0.044</v>
      </c>
      <c r="G275" s="22" t="n">
        <v>136168</v>
      </c>
      <c r="H275" s="22" t="n">
        <v>341608</v>
      </c>
      <c r="I275" s="22" t="n">
        <v>1893817</v>
      </c>
      <c r="J275" s="22" t="n">
        <v>9725540</v>
      </c>
      <c r="K275" s="18" t="n">
        <f aca="false">C275+D275+E275+G275+H275+I275</f>
        <v>9725540</v>
      </c>
      <c r="L275" s="23" t="n">
        <f aca="false">K275-J275</f>
        <v>0</v>
      </c>
    </row>
    <row r="276" customFormat="false" ht="15" hidden="false" customHeight="false" outlineLevel="0" collapsed="false">
      <c r="A276" s="6" t="s">
        <v>575</v>
      </c>
      <c r="B276" s="6" t="s">
        <v>561</v>
      </c>
      <c r="C276" s="22" t="n">
        <v>6248942</v>
      </c>
      <c r="D276" s="22" t="n">
        <v>4267829</v>
      </c>
      <c r="E276" s="22" t="n">
        <v>156769</v>
      </c>
      <c r="F276" s="9" t="n">
        <v>0.04</v>
      </c>
      <c r="G276" s="22" t="n">
        <v>95689</v>
      </c>
      <c r="H276" s="22" t="n">
        <v>195197</v>
      </c>
      <c r="I276" s="22" t="n">
        <v>1614893</v>
      </c>
      <c r="J276" s="22" t="n">
        <v>12579319</v>
      </c>
      <c r="K276" s="18" t="n">
        <f aca="false">C276+D276+E276+G276+H276+I276</f>
        <v>12579319</v>
      </c>
      <c r="L276" s="23" t="n">
        <f aca="false">K276-J276</f>
        <v>0</v>
      </c>
    </row>
    <row r="277" customFormat="false" ht="15" hidden="false" customHeight="false" outlineLevel="0" collapsed="false">
      <c r="A277" s="6" t="s">
        <v>576</v>
      </c>
      <c r="B277" s="6" t="s">
        <v>561</v>
      </c>
      <c r="C277" s="22" t="n">
        <v>10023543</v>
      </c>
      <c r="D277" s="22" t="n">
        <v>3700654</v>
      </c>
      <c r="E277" s="22" t="n">
        <v>230949</v>
      </c>
      <c r="F277" s="9" t="n">
        <v>0.02</v>
      </c>
      <c r="G277" s="22" t="n">
        <v>165848</v>
      </c>
      <c r="H277" s="22" t="n">
        <v>497555</v>
      </c>
      <c r="I277" s="22" t="n">
        <v>2969519</v>
      </c>
      <c r="J277" s="22" t="n">
        <v>17588068</v>
      </c>
      <c r="K277" s="18" t="n">
        <f aca="false">C277+D277+E277+G277+H277+I277</f>
        <v>17588068</v>
      </c>
      <c r="L277" s="23" t="n">
        <f aca="false">K277-J277</f>
        <v>0</v>
      </c>
    </row>
    <row r="278" customFormat="false" ht="15" hidden="false" customHeight="false" outlineLevel="0" collapsed="false">
      <c r="A278" s="6" t="s">
        <v>577</v>
      </c>
      <c r="B278" s="6" t="s">
        <v>561</v>
      </c>
      <c r="C278" s="22" t="n">
        <v>7041933</v>
      </c>
      <c r="D278" s="22" t="n">
        <v>2604768</v>
      </c>
      <c r="E278" s="22" t="n">
        <v>413635</v>
      </c>
      <c r="F278" s="9" t="n">
        <v>0.05</v>
      </c>
      <c r="G278" s="22" t="n">
        <v>119787</v>
      </c>
      <c r="H278" s="22" t="n">
        <v>390575</v>
      </c>
      <c r="I278" s="22" t="n">
        <v>2633137</v>
      </c>
      <c r="J278" s="22" t="n">
        <v>13203835</v>
      </c>
      <c r="K278" s="18" t="n">
        <f aca="false">C278+D278+E278+G278+H278+I278</f>
        <v>13203835</v>
      </c>
      <c r="L278" s="23" t="n">
        <f aca="false">K278-J278</f>
        <v>0</v>
      </c>
    </row>
    <row r="279" customFormat="false" ht="15" hidden="false" customHeight="false" outlineLevel="0" collapsed="false">
      <c r="A279" s="6" t="s">
        <v>578</v>
      </c>
      <c r="B279" s="6" t="s">
        <v>561</v>
      </c>
      <c r="C279" s="22" t="n">
        <v>5779870</v>
      </c>
      <c r="D279" s="22" t="n">
        <v>3104553</v>
      </c>
      <c r="E279" s="22" t="n">
        <v>132941</v>
      </c>
      <c r="F279" s="9" t="n">
        <v>0.05</v>
      </c>
      <c r="G279" s="22" t="n">
        <v>87651</v>
      </c>
      <c r="H279" s="22" t="n">
        <v>147490</v>
      </c>
      <c r="I279" s="22" t="n">
        <v>1115862</v>
      </c>
      <c r="J279" s="22" t="n">
        <v>10368367</v>
      </c>
      <c r="K279" s="18" t="n">
        <f aca="false">C279+D279+E279+G279+H279+I279</f>
        <v>10368367</v>
      </c>
      <c r="L279" s="23" t="n">
        <f aca="false">K279-J279</f>
        <v>0</v>
      </c>
    </row>
    <row r="280" customFormat="false" ht="15" hidden="false" customHeight="false" outlineLevel="0" collapsed="false">
      <c r="A280" s="6" t="s">
        <v>579</v>
      </c>
      <c r="B280" s="6" t="s">
        <v>561</v>
      </c>
      <c r="C280" s="22" t="n">
        <v>5300226</v>
      </c>
      <c r="D280" s="22" t="n">
        <v>3538612</v>
      </c>
      <c r="E280" s="22" t="n">
        <v>87679</v>
      </c>
      <c r="F280" s="9" t="n">
        <v>0.04</v>
      </c>
      <c r="G280" s="22" t="n">
        <v>86853</v>
      </c>
      <c r="H280" s="22" t="n">
        <v>107042</v>
      </c>
      <c r="I280" s="22" t="n">
        <v>1325493</v>
      </c>
      <c r="J280" s="22" t="n">
        <v>10445905</v>
      </c>
      <c r="K280" s="18" t="n">
        <f aca="false">C280+D280+E280+G280+H280+I280</f>
        <v>10445905</v>
      </c>
      <c r="L280" s="23" t="n">
        <f aca="false">K280-J280</f>
        <v>0</v>
      </c>
    </row>
    <row r="281" customFormat="false" ht="15" hidden="false" customHeight="false" outlineLevel="0" collapsed="false">
      <c r="A281" s="6" t="s">
        <v>580</v>
      </c>
      <c r="B281" s="6" t="s">
        <v>561</v>
      </c>
      <c r="C281" s="22" t="n">
        <v>6173771</v>
      </c>
      <c r="D281" s="22" t="n">
        <v>2214023</v>
      </c>
      <c r="E281" s="22" t="n">
        <v>211606</v>
      </c>
      <c r="F281" s="9" t="n">
        <v>0.05</v>
      </c>
      <c r="G281" s="22" t="n">
        <v>99907</v>
      </c>
      <c r="H281" s="22" t="n">
        <v>276140</v>
      </c>
      <c r="I281" s="22" t="n">
        <v>2133042</v>
      </c>
      <c r="J281" s="22" t="n">
        <v>11108489</v>
      </c>
      <c r="K281" s="18" t="n">
        <f aca="false">C281+D281+E281+G281+H281+I281</f>
        <v>11108489</v>
      </c>
      <c r="L281" s="23" t="n">
        <f aca="false">K281-J281</f>
        <v>0</v>
      </c>
    </row>
    <row r="282" customFormat="false" ht="15" hidden="false" customHeight="false" outlineLevel="0" collapsed="false">
      <c r="A282" s="6" t="s">
        <v>581</v>
      </c>
      <c r="B282" s="6" t="s">
        <v>561</v>
      </c>
      <c r="C282" s="22" t="n">
        <v>12104552</v>
      </c>
      <c r="D282" s="22" t="n">
        <v>4620594</v>
      </c>
      <c r="E282" s="22" t="n">
        <v>338827</v>
      </c>
      <c r="F282" s="9" t="n">
        <v>0.015</v>
      </c>
      <c r="G282" s="22" t="n">
        <v>295582</v>
      </c>
      <c r="H282" s="22" t="n">
        <v>857774</v>
      </c>
      <c r="I282" s="22" t="n">
        <v>4299149</v>
      </c>
      <c r="J282" s="22" t="n">
        <v>22516478</v>
      </c>
      <c r="K282" s="18" t="n">
        <f aca="false">C282+D282+E282+G282+H282+I282</f>
        <v>22516478</v>
      </c>
      <c r="L282" s="23" t="n">
        <f aca="false">K282-J282</f>
        <v>0</v>
      </c>
    </row>
    <row r="283" customFormat="false" ht="15" hidden="false" customHeight="false" outlineLevel="0" collapsed="false">
      <c r="A283" s="6" t="s">
        <v>582</v>
      </c>
      <c r="B283" s="6" t="s">
        <v>561</v>
      </c>
      <c r="C283" s="22" t="n">
        <v>3999346</v>
      </c>
      <c r="D283" s="22" t="n">
        <v>2748212</v>
      </c>
      <c r="E283" s="22" t="n">
        <v>153006</v>
      </c>
      <c r="F283" s="9" t="n">
        <v>0.05</v>
      </c>
      <c r="G283" s="22" t="n">
        <v>83234</v>
      </c>
      <c r="H283" s="22" t="n">
        <v>170521</v>
      </c>
      <c r="I283" s="22" t="n">
        <v>1350698</v>
      </c>
      <c r="J283" s="22" t="n">
        <v>8505017</v>
      </c>
      <c r="K283" s="18" t="n">
        <f aca="false">C283+D283+E283+G283+H283+I283</f>
        <v>8505017</v>
      </c>
      <c r="L283" s="23" t="n">
        <f aca="false">K283-J283</f>
        <v>0</v>
      </c>
    </row>
    <row r="284" customFormat="false" ht="15" hidden="false" customHeight="false" outlineLevel="0" collapsed="false">
      <c r="A284" s="6" t="s">
        <v>561</v>
      </c>
      <c r="B284" s="6" t="s">
        <v>561</v>
      </c>
      <c r="C284" s="22" t="n">
        <v>10514001</v>
      </c>
      <c r="D284" s="22" t="n">
        <v>8063217</v>
      </c>
      <c r="E284" s="22" t="n">
        <v>5075646</v>
      </c>
      <c r="F284" s="9" t="n">
        <v>0.035</v>
      </c>
      <c r="G284" s="22" t="n">
        <v>919234</v>
      </c>
      <c r="H284" s="22" t="n">
        <v>3640887</v>
      </c>
      <c r="I284" s="22" t="n">
        <v>13343293</v>
      </c>
      <c r="J284" s="22" t="n">
        <v>41556278</v>
      </c>
      <c r="K284" s="18" t="n">
        <f aca="false">C284+D284+E284+G284+H284+I284</f>
        <v>41556278</v>
      </c>
      <c r="L284" s="23" t="n">
        <f aca="false">K284-J284</f>
        <v>0</v>
      </c>
    </row>
    <row r="285" customFormat="false" ht="15" hidden="false" customHeight="false" outlineLevel="0" collapsed="false">
      <c r="A285" s="6" t="s">
        <v>583</v>
      </c>
      <c r="B285" s="6" t="s">
        <v>561</v>
      </c>
      <c r="C285" s="22" t="n">
        <v>6896644</v>
      </c>
      <c r="D285" s="22" t="n">
        <v>1929018</v>
      </c>
      <c r="E285" s="22" t="n">
        <v>269176</v>
      </c>
      <c r="F285" s="9" t="n">
        <v>0.04</v>
      </c>
      <c r="G285" s="22" t="n">
        <v>140483</v>
      </c>
      <c r="H285" s="22" t="n">
        <v>323511</v>
      </c>
      <c r="I285" s="22" t="n">
        <v>2293040</v>
      </c>
      <c r="J285" s="22" t="n">
        <v>11851872</v>
      </c>
      <c r="K285" s="18" t="n">
        <f aca="false">C285+D285+E285+G285+H285+I285</f>
        <v>11851872</v>
      </c>
      <c r="L285" s="23" t="n">
        <f aca="false">K285-J285</f>
        <v>0</v>
      </c>
    </row>
    <row r="286" customFormat="false" ht="15" hidden="false" customHeight="false" outlineLevel="0" collapsed="false">
      <c r="A286" s="6" t="s">
        <v>584</v>
      </c>
      <c r="B286" s="6" t="s">
        <v>585</v>
      </c>
      <c r="C286" s="22" t="n">
        <v>14218180</v>
      </c>
      <c r="D286" s="22" t="n">
        <v>4536070</v>
      </c>
      <c r="E286" s="22" t="n">
        <v>1708198</v>
      </c>
      <c r="F286" s="9" t="n">
        <v>0.05</v>
      </c>
      <c r="G286" s="22" t="n">
        <v>166300</v>
      </c>
      <c r="H286" s="22" t="n">
        <v>1146394</v>
      </c>
      <c r="I286" s="22" t="n">
        <v>0</v>
      </c>
      <c r="J286" s="22" t="n">
        <v>21775142</v>
      </c>
      <c r="K286" s="18" t="n">
        <f aca="false">C286+D286+E286+G286+H286+I286</f>
        <v>21775142</v>
      </c>
      <c r="L286" s="23" t="n">
        <f aca="false">K286-J286</f>
        <v>0</v>
      </c>
    </row>
    <row r="287" customFormat="false" ht="15" hidden="false" customHeight="false" outlineLevel="0" collapsed="false">
      <c r="A287" s="6" t="s">
        <v>586</v>
      </c>
      <c r="B287" s="6" t="s">
        <v>585</v>
      </c>
      <c r="C287" s="22" t="n">
        <v>4145950</v>
      </c>
      <c r="D287" s="22" t="n">
        <v>1839608</v>
      </c>
      <c r="E287" s="22" t="n">
        <v>0</v>
      </c>
      <c r="F287" s="9" t="n">
        <v>0</v>
      </c>
      <c r="G287" s="22" t="n">
        <v>33750</v>
      </c>
      <c r="H287" s="22" t="n">
        <v>111701</v>
      </c>
      <c r="I287" s="22" t="n">
        <v>0</v>
      </c>
      <c r="J287" s="22" t="n">
        <v>6131009</v>
      </c>
      <c r="K287" s="18" t="n">
        <f aca="false">C287+D287+E287+G287+H287+I287</f>
        <v>6131009</v>
      </c>
      <c r="L287" s="23" t="n">
        <f aca="false">K287-J287</f>
        <v>0</v>
      </c>
    </row>
    <row r="288" customFormat="false" ht="15" hidden="false" customHeight="false" outlineLevel="0" collapsed="false">
      <c r="A288" s="6" t="s">
        <v>587</v>
      </c>
      <c r="B288" s="6" t="s">
        <v>585</v>
      </c>
      <c r="C288" s="22" t="n">
        <v>1594771</v>
      </c>
      <c r="D288" s="22" t="n">
        <v>1061050</v>
      </c>
      <c r="E288" s="22" t="n">
        <v>23325</v>
      </c>
      <c r="F288" s="9" t="n">
        <v>0.05</v>
      </c>
      <c r="G288" s="22" t="n">
        <v>20720</v>
      </c>
      <c r="H288" s="22" t="n">
        <v>13534</v>
      </c>
      <c r="I288" s="22" t="n">
        <v>0</v>
      </c>
      <c r="J288" s="22" t="n">
        <v>2713400</v>
      </c>
      <c r="K288" s="18" t="n">
        <f aca="false">C288+D288+E288+G288+H288+I288</f>
        <v>2713400</v>
      </c>
      <c r="L288" s="23" t="n">
        <f aca="false">K288-J288</f>
        <v>0</v>
      </c>
    </row>
    <row r="289" customFormat="false" ht="15" hidden="false" customHeight="false" outlineLevel="0" collapsed="false">
      <c r="A289" s="6" t="s">
        <v>588</v>
      </c>
      <c r="B289" s="6" t="s">
        <v>585</v>
      </c>
      <c r="C289" s="22" t="n">
        <v>7173845</v>
      </c>
      <c r="D289" s="22" t="n">
        <v>2241027</v>
      </c>
      <c r="E289" s="22" t="n">
        <v>678614</v>
      </c>
      <c r="F289" s="9" t="n">
        <v>0.045</v>
      </c>
      <c r="G289" s="22" t="n">
        <v>82865</v>
      </c>
      <c r="H289" s="22" t="n">
        <v>510038</v>
      </c>
      <c r="I289" s="22" t="n">
        <v>0</v>
      </c>
      <c r="J289" s="22" t="n">
        <v>10686389</v>
      </c>
      <c r="K289" s="18" t="n">
        <f aca="false">C289+D289+E289+G289+H289+I289</f>
        <v>10686389</v>
      </c>
      <c r="L289" s="23" t="n">
        <f aca="false">K289-J289</f>
        <v>0</v>
      </c>
    </row>
    <row r="290" customFormat="false" ht="15" hidden="false" customHeight="false" outlineLevel="0" collapsed="false">
      <c r="A290" s="6" t="s">
        <v>589</v>
      </c>
      <c r="B290" s="6" t="s">
        <v>585</v>
      </c>
      <c r="C290" s="22" t="n">
        <v>5881607</v>
      </c>
      <c r="D290" s="22" t="n">
        <v>2969996</v>
      </c>
      <c r="E290" s="22" t="n">
        <v>603239</v>
      </c>
      <c r="F290" s="9" t="n">
        <v>0.05</v>
      </c>
      <c r="G290" s="22" t="n">
        <v>85099</v>
      </c>
      <c r="H290" s="22" t="n">
        <v>586943</v>
      </c>
      <c r="I290" s="22" t="n">
        <v>0</v>
      </c>
      <c r="J290" s="22" t="n">
        <v>10126884</v>
      </c>
      <c r="K290" s="18" t="n">
        <f aca="false">C290+D290+E290+G290+H290+I290</f>
        <v>10126884</v>
      </c>
      <c r="L290" s="23" t="n">
        <f aca="false">K290-J290</f>
        <v>0</v>
      </c>
    </row>
    <row r="291" customFormat="false" ht="15" hidden="false" customHeight="false" outlineLevel="0" collapsed="false">
      <c r="A291" s="6" t="s">
        <v>590</v>
      </c>
      <c r="B291" s="6" t="s">
        <v>585</v>
      </c>
      <c r="C291" s="22" t="n">
        <v>2809961</v>
      </c>
      <c r="D291" s="22" t="n">
        <v>1887241</v>
      </c>
      <c r="E291" s="22" t="n">
        <v>12886</v>
      </c>
      <c r="F291" s="9" t="n">
        <v>0.01</v>
      </c>
      <c r="G291" s="22" t="n">
        <v>25645</v>
      </c>
      <c r="H291" s="22" t="n">
        <v>26173</v>
      </c>
      <c r="I291" s="22" t="n">
        <v>0</v>
      </c>
      <c r="J291" s="22" t="n">
        <v>4761906</v>
      </c>
      <c r="K291" s="18" t="n">
        <f aca="false">C291+D291+E291+G291+H291+I291</f>
        <v>4761906</v>
      </c>
      <c r="L291" s="23" t="n">
        <f aca="false">K291-J291</f>
        <v>0</v>
      </c>
    </row>
    <row r="292" customFormat="false" ht="15" hidden="false" customHeight="false" outlineLevel="0" collapsed="false">
      <c r="A292" s="6" t="s">
        <v>591</v>
      </c>
      <c r="B292" s="6" t="s">
        <v>585</v>
      </c>
      <c r="C292" s="22" t="n">
        <v>3939543</v>
      </c>
      <c r="D292" s="22" t="n">
        <v>2759890</v>
      </c>
      <c r="E292" s="22" t="n">
        <v>140725</v>
      </c>
      <c r="F292" s="9" t="n">
        <v>0.05</v>
      </c>
      <c r="G292" s="22" t="n">
        <v>37864</v>
      </c>
      <c r="H292" s="22" t="n">
        <v>160609</v>
      </c>
      <c r="I292" s="22" t="n">
        <v>0</v>
      </c>
      <c r="J292" s="22" t="n">
        <v>7038631</v>
      </c>
      <c r="K292" s="18" t="n">
        <f aca="false">C292+D292+E292+G292+H292+I292</f>
        <v>7038631</v>
      </c>
      <c r="L292" s="23" t="n">
        <f aca="false">K292-J292</f>
        <v>0</v>
      </c>
    </row>
    <row r="293" customFormat="false" ht="15" hidden="false" customHeight="false" outlineLevel="0" collapsed="false">
      <c r="A293" s="6" t="s">
        <v>592</v>
      </c>
      <c r="B293" s="6" t="s">
        <v>585</v>
      </c>
      <c r="C293" s="22" t="n">
        <v>4683067</v>
      </c>
      <c r="D293" s="22" t="n">
        <v>2315273</v>
      </c>
      <c r="E293" s="22" t="n">
        <v>230999</v>
      </c>
      <c r="F293" s="9" t="n">
        <v>0.05</v>
      </c>
      <c r="G293" s="22" t="n">
        <v>48194</v>
      </c>
      <c r="H293" s="22" t="n">
        <v>287279</v>
      </c>
      <c r="I293" s="22" t="n">
        <v>0</v>
      </c>
      <c r="J293" s="22" t="n">
        <v>7564812</v>
      </c>
      <c r="K293" s="18" t="n">
        <f aca="false">C293+D293+E293+G293+H293+I293</f>
        <v>7564812</v>
      </c>
      <c r="L293" s="23" t="n">
        <f aca="false">K293-J293</f>
        <v>0</v>
      </c>
    </row>
    <row r="294" customFormat="false" ht="15" hidden="false" customHeight="false" outlineLevel="0" collapsed="false">
      <c r="A294" s="6" t="s">
        <v>593</v>
      </c>
      <c r="B294" s="6" t="s">
        <v>585</v>
      </c>
      <c r="C294" s="22" t="n">
        <v>4454145</v>
      </c>
      <c r="D294" s="22" t="n">
        <v>3066933</v>
      </c>
      <c r="E294" s="22" t="n">
        <v>112728</v>
      </c>
      <c r="F294" s="9" t="n">
        <v>0.05</v>
      </c>
      <c r="G294" s="22" t="n">
        <v>38358</v>
      </c>
      <c r="H294" s="22" t="n">
        <v>145673</v>
      </c>
      <c r="I294" s="22" t="n">
        <v>0</v>
      </c>
      <c r="J294" s="22" t="n">
        <v>7817837</v>
      </c>
      <c r="K294" s="18" t="n">
        <f aca="false">C294+D294+E294+G294+H294+I294</f>
        <v>7817837</v>
      </c>
      <c r="L294" s="23" t="n">
        <f aca="false">K294-J294</f>
        <v>0</v>
      </c>
    </row>
    <row r="295" customFormat="false" ht="15" hidden="false" customHeight="false" outlineLevel="0" collapsed="false">
      <c r="A295" s="6" t="s">
        <v>594</v>
      </c>
      <c r="B295" s="6" t="s">
        <v>585</v>
      </c>
      <c r="C295" s="22" t="n">
        <v>8825450</v>
      </c>
      <c r="D295" s="22" t="n">
        <v>9930082</v>
      </c>
      <c r="E295" s="22" t="n">
        <v>3163626</v>
      </c>
      <c r="F295" s="9" t="n">
        <v>0.035</v>
      </c>
      <c r="G295" s="22" t="n">
        <v>335002</v>
      </c>
      <c r="H295" s="22" t="n">
        <v>2730018</v>
      </c>
      <c r="I295" s="22" t="n">
        <v>0</v>
      </c>
      <c r="J295" s="22" t="n">
        <v>24984178</v>
      </c>
      <c r="K295" s="18" t="n">
        <f aca="false">C295+D295+E295+G295+H295+I295</f>
        <v>24984178</v>
      </c>
      <c r="L295" s="23" t="n">
        <f aca="false">K295-J295</f>
        <v>0</v>
      </c>
    </row>
    <row r="296" customFormat="false" ht="15" hidden="false" customHeight="false" outlineLevel="0" collapsed="false">
      <c r="A296" s="6" t="s">
        <v>595</v>
      </c>
      <c r="B296" s="6" t="s">
        <v>585</v>
      </c>
      <c r="C296" s="22" t="n">
        <v>5163339</v>
      </c>
      <c r="D296" s="22" t="n">
        <v>2150663</v>
      </c>
      <c r="E296" s="22" t="n">
        <v>78967</v>
      </c>
      <c r="F296" s="9" t="n">
        <v>0.025</v>
      </c>
      <c r="G296" s="22" t="n">
        <v>45977</v>
      </c>
      <c r="H296" s="22" t="n">
        <v>216215</v>
      </c>
      <c r="I296" s="22" t="n">
        <v>0</v>
      </c>
      <c r="J296" s="22" t="n">
        <v>7655161</v>
      </c>
      <c r="K296" s="18" t="n">
        <f aca="false">C296+D296+E296+G296+H296+I296</f>
        <v>7655161</v>
      </c>
      <c r="L296" s="23" t="n">
        <f aca="false">K296-J296</f>
        <v>0</v>
      </c>
    </row>
    <row r="297" customFormat="false" ht="15" hidden="false" customHeight="false" outlineLevel="0" collapsed="false">
      <c r="A297" s="6" t="s">
        <v>596</v>
      </c>
      <c r="B297" s="6" t="s">
        <v>585</v>
      </c>
      <c r="C297" s="22" t="n">
        <v>13471101</v>
      </c>
      <c r="D297" s="22" t="n">
        <v>4213021</v>
      </c>
      <c r="E297" s="22" t="n">
        <v>278531</v>
      </c>
      <c r="F297" s="9" t="n">
        <v>0.015</v>
      </c>
      <c r="G297" s="22" t="n">
        <v>158511</v>
      </c>
      <c r="H297" s="22" t="n">
        <v>1472348</v>
      </c>
      <c r="I297" s="22" t="n">
        <v>0</v>
      </c>
      <c r="J297" s="22" t="n">
        <v>19593512</v>
      </c>
      <c r="K297" s="18" t="n">
        <f aca="false">C297+D297+E297+G297+H297+I297</f>
        <v>19593512</v>
      </c>
      <c r="L297" s="23" t="n">
        <f aca="false">K297-J297</f>
        <v>0</v>
      </c>
    </row>
    <row r="298" customFormat="false" ht="15" hidden="false" customHeight="false" outlineLevel="0" collapsed="false">
      <c r="A298" s="6" t="s">
        <v>597</v>
      </c>
      <c r="B298" s="6" t="s">
        <v>585</v>
      </c>
      <c r="C298" s="22" t="n">
        <v>3648879</v>
      </c>
      <c r="D298" s="22" t="n">
        <v>1345938</v>
      </c>
      <c r="E298" s="22" t="n">
        <v>82562</v>
      </c>
      <c r="F298" s="9" t="n">
        <v>0.03</v>
      </c>
      <c r="G298" s="22" t="n">
        <v>36221</v>
      </c>
      <c r="H298" s="22" t="n">
        <v>160597</v>
      </c>
      <c r="I298" s="22" t="n">
        <v>0</v>
      </c>
      <c r="J298" s="22" t="n">
        <v>5274197</v>
      </c>
      <c r="K298" s="18" t="n">
        <f aca="false">C298+D298+E298+G298+H298+I298</f>
        <v>5274197</v>
      </c>
      <c r="L298" s="23" t="n">
        <f aca="false">K298-J298</f>
        <v>0</v>
      </c>
    </row>
    <row r="299" customFormat="false" ht="15" hidden="false" customHeight="false" outlineLevel="0" collapsed="false">
      <c r="A299" s="6" t="s">
        <v>598</v>
      </c>
      <c r="B299" s="6" t="s">
        <v>585</v>
      </c>
      <c r="C299" s="22" t="n">
        <v>2378858</v>
      </c>
      <c r="D299" s="22" t="n">
        <v>1668384</v>
      </c>
      <c r="E299" s="22" t="n">
        <v>0</v>
      </c>
      <c r="F299" s="9" t="n">
        <v>0</v>
      </c>
      <c r="G299" s="22" t="n">
        <v>28150</v>
      </c>
      <c r="H299" s="22" t="n">
        <v>97115</v>
      </c>
      <c r="I299" s="22" t="n">
        <v>0</v>
      </c>
      <c r="J299" s="22" t="n">
        <v>4172507</v>
      </c>
      <c r="K299" s="18" t="n">
        <f aca="false">C299+D299+E299+G299+H299+I299</f>
        <v>4172507</v>
      </c>
      <c r="L299" s="23" t="n">
        <f aca="false">K299-J299</f>
        <v>0</v>
      </c>
    </row>
    <row r="300" customFormat="false" ht="15" hidden="false" customHeight="false" outlineLevel="0" collapsed="false">
      <c r="A300" s="6" t="s">
        <v>599</v>
      </c>
      <c r="B300" s="6" t="s">
        <v>585</v>
      </c>
      <c r="C300" s="22" t="n">
        <v>3093404</v>
      </c>
      <c r="D300" s="22" t="n">
        <v>2201857</v>
      </c>
      <c r="E300" s="22" t="n">
        <v>155308</v>
      </c>
      <c r="F300" s="9" t="n">
        <v>0.05</v>
      </c>
      <c r="G300" s="22" t="n">
        <v>34345</v>
      </c>
      <c r="H300" s="22" t="n">
        <v>136612</v>
      </c>
      <c r="I300" s="22" t="n">
        <v>0</v>
      </c>
      <c r="J300" s="22" t="n">
        <v>5621526</v>
      </c>
      <c r="K300" s="18" t="n">
        <f aca="false">C300+D300+E300+G300+H300+I300</f>
        <v>5621526</v>
      </c>
      <c r="L300" s="23" t="n">
        <f aca="false">K300-J300</f>
        <v>0</v>
      </c>
    </row>
    <row r="301" customFormat="false" ht="15" hidden="false" customHeight="false" outlineLevel="0" collapsed="false">
      <c r="A301" s="6" t="s">
        <v>600</v>
      </c>
      <c r="B301" s="6" t="s">
        <v>585</v>
      </c>
      <c r="C301" s="22" t="n">
        <v>4147819</v>
      </c>
      <c r="D301" s="22" t="n">
        <v>2604928</v>
      </c>
      <c r="E301" s="22" t="n">
        <v>0</v>
      </c>
      <c r="F301" s="9" t="n">
        <v>0</v>
      </c>
      <c r="G301" s="22" t="n">
        <v>40520</v>
      </c>
      <c r="H301" s="22" t="n">
        <v>161181</v>
      </c>
      <c r="I301" s="22" t="n">
        <v>0</v>
      </c>
      <c r="J301" s="22" t="n">
        <v>6954448</v>
      </c>
      <c r="K301" s="18" t="n">
        <f aca="false">C301+D301+E301+G301+H301+I301</f>
        <v>6954448</v>
      </c>
      <c r="L301" s="23" t="n">
        <f aca="false">K301-J301</f>
        <v>0</v>
      </c>
    </row>
    <row r="302" customFormat="false" ht="15" hidden="false" customHeight="false" outlineLevel="0" collapsed="false">
      <c r="A302" s="6" t="s">
        <v>601</v>
      </c>
      <c r="B302" s="6" t="s">
        <v>585</v>
      </c>
      <c r="C302" s="22" t="n">
        <v>9533245</v>
      </c>
      <c r="D302" s="22" t="n">
        <v>2931081</v>
      </c>
      <c r="E302" s="22" t="n">
        <v>599371</v>
      </c>
      <c r="F302" s="9" t="n">
        <v>0.04</v>
      </c>
      <c r="G302" s="22" t="n">
        <v>104168</v>
      </c>
      <c r="H302" s="22" t="n">
        <v>754069</v>
      </c>
      <c r="I302" s="22" t="n">
        <v>0</v>
      </c>
      <c r="J302" s="22" t="n">
        <v>13921934</v>
      </c>
      <c r="K302" s="18" t="n">
        <f aca="false">C302+D302+E302+G302+H302+I302</f>
        <v>13921934</v>
      </c>
      <c r="L302" s="23" t="n">
        <f aca="false">K302-J302</f>
        <v>0</v>
      </c>
    </row>
    <row r="303" customFormat="false" ht="15" hidden="false" customHeight="false" outlineLevel="0" collapsed="false">
      <c r="A303" s="6" t="s">
        <v>602</v>
      </c>
      <c r="B303" s="6" t="s">
        <v>585</v>
      </c>
      <c r="C303" s="22" t="n">
        <v>4489020</v>
      </c>
      <c r="D303" s="22" t="n">
        <v>1841758</v>
      </c>
      <c r="E303" s="22" t="n">
        <v>429421</v>
      </c>
      <c r="F303" s="9" t="n">
        <v>0.05</v>
      </c>
      <c r="G303" s="22" t="n">
        <v>42733</v>
      </c>
      <c r="H303" s="22" t="n">
        <v>220994</v>
      </c>
      <c r="I303" s="22" t="n">
        <v>0</v>
      </c>
      <c r="J303" s="22" t="n">
        <v>7023926</v>
      </c>
      <c r="K303" s="18" t="n">
        <f aca="false">C303+D303+E303+G303+H303+I303</f>
        <v>7023926</v>
      </c>
      <c r="L303" s="23" t="n">
        <f aca="false">K303-J303</f>
        <v>0</v>
      </c>
    </row>
    <row r="304" customFormat="false" ht="15" hidden="false" customHeight="false" outlineLevel="0" collapsed="false">
      <c r="A304" s="6" t="s">
        <v>603</v>
      </c>
      <c r="B304" s="6" t="s">
        <v>585</v>
      </c>
      <c r="C304" s="22" t="n">
        <v>6508121</v>
      </c>
      <c r="D304" s="22" t="n">
        <v>1909905</v>
      </c>
      <c r="E304" s="22" t="n">
        <v>277292</v>
      </c>
      <c r="F304" s="9" t="n">
        <v>0.05</v>
      </c>
      <c r="G304" s="22" t="n">
        <v>64286</v>
      </c>
      <c r="H304" s="22" t="n">
        <v>403601</v>
      </c>
      <c r="I304" s="22" t="n">
        <v>0</v>
      </c>
      <c r="J304" s="22" t="n">
        <v>9163205</v>
      </c>
      <c r="K304" s="18" t="n">
        <f aca="false">C304+D304+E304+G304+H304+I304</f>
        <v>9163205</v>
      </c>
      <c r="L304" s="23" t="n">
        <f aca="false">K304-J304</f>
        <v>0</v>
      </c>
    </row>
    <row r="305" customFormat="false" ht="15" hidden="false" customHeight="false" outlineLevel="0" collapsed="false">
      <c r="A305" s="6" t="s">
        <v>604</v>
      </c>
      <c r="B305" s="6" t="s">
        <v>605</v>
      </c>
      <c r="C305" s="22" t="n">
        <v>7664688</v>
      </c>
      <c r="D305" s="22" t="n">
        <v>2845639</v>
      </c>
      <c r="E305" s="22" t="n">
        <v>0</v>
      </c>
      <c r="F305" s="9" t="n">
        <v>0</v>
      </c>
      <c r="G305" s="22" t="n">
        <v>0</v>
      </c>
      <c r="H305" s="22" t="n">
        <v>372164</v>
      </c>
      <c r="I305" s="22" t="n">
        <v>0</v>
      </c>
      <c r="J305" s="22" t="n">
        <v>10882491</v>
      </c>
      <c r="K305" s="18" t="n">
        <f aca="false">C305+D305+E305+G305+H305+I305</f>
        <v>10882491</v>
      </c>
      <c r="L305" s="23" t="n">
        <f aca="false">K305-J305</f>
        <v>0</v>
      </c>
    </row>
    <row r="306" customFormat="false" ht="15" hidden="false" customHeight="false" outlineLevel="0" collapsed="false">
      <c r="A306" s="6" t="s">
        <v>606</v>
      </c>
      <c r="B306" s="6" t="s">
        <v>605</v>
      </c>
      <c r="C306" s="22" t="n">
        <v>11277641</v>
      </c>
      <c r="D306" s="22" t="n">
        <v>3434010</v>
      </c>
      <c r="E306" s="22" t="n">
        <v>392507</v>
      </c>
      <c r="F306" s="9" t="n">
        <v>0.03</v>
      </c>
      <c r="G306" s="22" t="n">
        <v>0</v>
      </c>
      <c r="H306" s="22" t="n">
        <v>960989</v>
      </c>
      <c r="I306" s="22" t="n">
        <v>0</v>
      </c>
      <c r="J306" s="22" t="n">
        <v>16065147</v>
      </c>
      <c r="K306" s="18" t="n">
        <f aca="false">C306+D306+E306+G306+H306+I306</f>
        <v>16065147</v>
      </c>
      <c r="L306" s="23" t="n">
        <f aca="false">K306-J306</f>
        <v>0</v>
      </c>
    </row>
    <row r="307" customFormat="false" ht="15" hidden="false" customHeight="false" outlineLevel="0" collapsed="false">
      <c r="A307" s="6" t="s">
        <v>607</v>
      </c>
      <c r="B307" s="6" t="s">
        <v>605</v>
      </c>
      <c r="C307" s="22" t="n">
        <v>12807927</v>
      </c>
      <c r="D307" s="22" t="n">
        <v>493276</v>
      </c>
      <c r="E307" s="22" t="n">
        <v>0</v>
      </c>
      <c r="F307" s="9" t="n">
        <v>0</v>
      </c>
      <c r="G307" s="22" t="n">
        <v>0</v>
      </c>
      <c r="H307" s="22" t="n">
        <v>3007169</v>
      </c>
      <c r="I307" s="22" t="n">
        <v>0</v>
      </c>
      <c r="J307" s="22" t="n">
        <v>16308372</v>
      </c>
      <c r="K307" s="18" t="n">
        <f aca="false">C307+D307+E307+G307+H307+I307</f>
        <v>16308372</v>
      </c>
      <c r="L307" s="23" t="n">
        <f aca="false">K307-J307</f>
        <v>0</v>
      </c>
    </row>
    <row r="308" customFormat="false" ht="15" hidden="false" customHeight="false" outlineLevel="0" collapsed="false">
      <c r="A308" s="6" t="s">
        <v>608</v>
      </c>
      <c r="B308" s="6" t="s">
        <v>605</v>
      </c>
      <c r="C308" s="22" t="n">
        <v>9083994</v>
      </c>
      <c r="D308" s="22" t="n">
        <v>2745778</v>
      </c>
      <c r="E308" s="22" t="n">
        <v>456555</v>
      </c>
      <c r="F308" s="9" t="n">
        <v>0.04</v>
      </c>
      <c r="G308" s="22" t="n">
        <v>0</v>
      </c>
      <c r="H308" s="22" t="n">
        <v>654191</v>
      </c>
      <c r="I308" s="22" t="n">
        <v>0</v>
      </c>
      <c r="J308" s="22" t="n">
        <v>12940518</v>
      </c>
      <c r="K308" s="18" t="n">
        <f aca="false">C308+D308+E308+G308+H308+I308</f>
        <v>12940518</v>
      </c>
      <c r="L308" s="23" t="n">
        <f aca="false">K308-J308</f>
        <v>0</v>
      </c>
    </row>
    <row r="309" customFormat="false" ht="15" hidden="false" customHeight="false" outlineLevel="0" collapsed="false">
      <c r="A309" s="6" t="s">
        <v>609</v>
      </c>
      <c r="B309" s="6" t="s">
        <v>605</v>
      </c>
      <c r="C309" s="22" t="n">
        <v>5753346</v>
      </c>
      <c r="D309" s="22" t="n">
        <v>1679180</v>
      </c>
      <c r="E309" s="22" t="n">
        <v>0</v>
      </c>
      <c r="F309" s="9" t="n">
        <v>0</v>
      </c>
      <c r="G309" s="22" t="n">
        <v>0</v>
      </c>
      <c r="H309" s="22" t="n">
        <v>299572</v>
      </c>
      <c r="I309" s="22" t="n">
        <v>0</v>
      </c>
      <c r="J309" s="22" t="n">
        <v>7732098</v>
      </c>
      <c r="K309" s="18" t="n">
        <f aca="false">C309+D309+E309+G309+H309+I309</f>
        <v>7732098</v>
      </c>
      <c r="L309" s="23" t="n">
        <f aca="false">K309-J309</f>
        <v>0</v>
      </c>
    </row>
    <row r="310" customFormat="false" ht="15" hidden="false" customHeight="false" outlineLevel="0" collapsed="false">
      <c r="A310" s="6" t="s">
        <v>610</v>
      </c>
      <c r="B310" s="6" t="s">
        <v>605</v>
      </c>
      <c r="C310" s="22" t="n">
        <v>3834897</v>
      </c>
      <c r="D310" s="22" t="n">
        <v>2606319</v>
      </c>
      <c r="E310" s="22" t="n">
        <v>0</v>
      </c>
      <c r="F310" s="9" t="n">
        <v>0</v>
      </c>
      <c r="G310" s="22" t="n">
        <v>0</v>
      </c>
      <c r="H310" s="22" t="n">
        <v>77211</v>
      </c>
      <c r="I310" s="22" t="n">
        <v>0</v>
      </c>
      <c r="J310" s="22" t="n">
        <v>6518427</v>
      </c>
      <c r="K310" s="18" t="n">
        <f aca="false">C310+D310+E310+G310+H310+I310</f>
        <v>6518427</v>
      </c>
      <c r="L310" s="23" t="n">
        <f aca="false">K310-J310</f>
        <v>0</v>
      </c>
    </row>
    <row r="311" customFormat="false" ht="15" hidden="false" customHeight="false" outlineLevel="0" collapsed="false">
      <c r="A311" s="6" t="s">
        <v>611</v>
      </c>
      <c r="B311" s="6" t="s">
        <v>605</v>
      </c>
      <c r="C311" s="22" t="n">
        <v>1927973</v>
      </c>
      <c r="D311" s="22" t="n">
        <v>241908</v>
      </c>
      <c r="E311" s="22" t="n">
        <v>330648</v>
      </c>
      <c r="F311" s="9" t="n">
        <v>0.038</v>
      </c>
      <c r="G311" s="22" t="n">
        <v>0</v>
      </c>
      <c r="H311" s="22" t="n">
        <v>140797</v>
      </c>
      <c r="I311" s="22" t="n">
        <v>0</v>
      </c>
      <c r="J311" s="22" t="n">
        <v>2641326</v>
      </c>
      <c r="K311" s="18" t="n">
        <f aca="false">C311+D311+E311+G311+H311+I311</f>
        <v>2641326</v>
      </c>
      <c r="L311" s="23" t="n">
        <f aca="false">K311-J311</f>
        <v>0</v>
      </c>
    </row>
    <row r="312" customFormat="false" ht="15" hidden="false" customHeight="false" outlineLevel="0" collapsed="false">
      <c r="A312" s="6" t="s">
        <v>612</v>
      </c>
      <c r="B312" s="6" t="s">
        <v>605</v>
      </c>
      <c r="C312" s="22" t="n">
        <v>7213282</v>
      </c>
      <c r="D312" s="22" t="n">
        <v>2133438</v>
      </c>
      <c r="E312" s="22" t="n">
        <v>314330</v>
      </c>
      <c r="F312" s="9" t="n">
        <v>0.05</v>
      </c>
      <c r="G312" s="22" t="n">
        <v>0</v>
      </c>
      <c r="H312" s="22" t="n">
        <v>482269</v>
      </c>
      <c r="I312" s="22" t="n">
        <v>0</v>
      </c>
      <c r="J312" s="22" t="n">
        <v>10143319</v>
      </c>
      <c r="K312" s="18" t="n">
        <f aca="false">C312+D312+E312+G312+H312+I312</f>
        <v>10143319</v>
      </c>
      <c r="L312" s="23" t="n">
        <f aca="false">K312-J312</f>
        <v>0</v>
      </c>
    </row>
    <row r="313" customFormat="false" ht="15" hidden="false" customHeight="false" outlineLevel="0" collapsed="false">
      <c r="A313" s="6" t="s">
        <v>613</v>
      </c>
      <c r="B313" s="6" t="s">
        <v>605</v>
      </c>
      <c r="C313" s="22" t="n">
        <v>7127118</v>
      </c>
      <c r="D313" s="22" t="n">
        <v>3409394</v>
      </c>
      <c r="E313" s="22" t="n">
        <v>1525013</v>
      </c>
      <c r="F313" s="9" t="n">
        <v>0.04</v>
      </c>
      <c r="G313" s="22" t="n">
        <v>0</v>
      </c>
      <c r="H313" s="22" t="n">
        <v>1073299</v>
      </c>
      <c r="I313" s="22" t="n">
        <v>0</v>
      </c>
      <c r="J313" s="22" t="n">
        <v>13134824</v>
      </c>
      <c r="K313" s="18" t="n">
        <f aca="false">C313+D313+E313+G313+H313+I313</f>
        <v>13134824</v>
      </c>
      <c r="L313" s="23" t="n">
        <f aca="false">K313-J313</f>
        <v>0</v>
      </c>
    </row>
    <row r="314" customFormat="false" ht="15" hidden="false" customHeight="false" outlineLevel="0" collapsed="false">
      <c r="A314" s="6" t="s">
        <v>614</v>
      </c>
      <c r="B314" s="6" t="s">
        <v>605</v>
      </c>
      <c r="C314" s="22" t="n">
        <v>7323622</v>
      </c>
      <c r="D314" s="22" t="n">
        <v>2624836</v>
      </c>
      <c r="E314" s="22" t="n">
        <v>0</v>
      </c>
      <c r="F314" s="9" t="n">
        <v>0</v>
      </c>
      <c r="G314" s="22" t="n">
        <v>0</v>
      </c>
      <c r="H314" s="22" t="n">
        <v>190064</v>
      </c>
      <c r="I314" s="22" t="n">
        <v>0</v>
      </c>
      <c r="J314" s="22" t="n">
        <v>10138522</v>
      </c>
      <c r="K314" s="18" t="n">
        <f aca="false">C314+D314+E314+G314+H314+I314</f>
        <v>10138522</v>
      </c>
      <c r="L314" s="23" t="n">
        <f aca="false">K314-J314</f>
        <v>0</v>
      </c>
    </row>
    <row r="315" customFormat="false" ht="15" hidden="false" customHeight="false" outlineLevel="0" collapsed="false">
      <c r="A315" s="6" t="s">
        <v>615</v>
      </c>
      <c r="B315" s="6" t="s">
        <v>605</v>
      </c>
      <c r="C315" s="22" t="n">
        <v>5213100</v>
      </c>
      <c r="D315" s="22" t="n">
        <v>2259647</v>
      </c>
      <c r="E315" s="22" t="n">
        <v>0</v>
      </c>
      <c r="F315" s="9" t="n">
        <v>0</v>
      </c>
      <c r="G315" s="22" t="n">
        <v>0</v>
      </c>
      <c r="H315" s="22" t="n">
        <v>154340</v>
      </c>
      <c r="I315" s="22" t="n">
        <v>0</v>
      </c>
      <c r="J315" s="22" t="n">
        <v>7627087</v>
      </c>
      <c r="K315" s="18" t="n">
        <f aca="false">C315+D315+E315+G315+H315+I315</f>
        <v>7627087</v>
      </c>
      <c r="L315" s="23" t="n">
        <f aca="false">K315-J315</f>
        <v>0</v>
      </c>
    </row>
  </sheetData>
  <autoFilter ref="A4:L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2026-10-12T13:33:36Z</dcterms:created>
  <dc:creator>openpyxl</dc:creator>
  <dc:description/>
  <dc:language>pt-PT</dc:language>
  <cp:lastModifiedBy/>
  <dcterms:modified xsi:type="dcterms:W3CDTF">2026-10-12T13:33:36Z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